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pivotTables/pivotTable4.xml" ContentType="application/vnd.openxmlformats-officedocument.spreadsheetml.pivot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pivotTables/pivotTable5.xml" ContentType="application/vnd.openxmlformats-officedocument.spreadsheetml.pivot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pivotTables/pivotTable6.xml" ContentType="application/vnd.openxmlformats-officedocument.spreadsheetml.pivotTable+xml"/>
  <Override PartName="/xl/tables/table1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xr:revisionPtr revIDLastSave="0" documentId="8_{EAD3F4B2-2E58-4519-B103-5B0CD0180453}" xr6:coauthVersionLast="47" xr6:coauthVersionMax="47" xr10:uidLastSave="{00000000-0000-0000-0000-000000000000}"/>
  <bookViews>
    <workbookView xWindow="240" yWindow="105" windowWidth="14805" windowHeight="8010" firstSheet="2" activeTab="3" xr2:uid="{00000000-000D-0000-FFFF-FFFF00000000}"/>
  </bookViews>
  <sheets>
    <sheet name="Kartu aktif" sheetId="1" r:id="rId1"/>
    <sheet name="Exp date" sheetId="3" r:id="rId2"/>
    <sheet name="Sheet2" sheetId="11" r:id="rId3"/>
    <sheet name="exp kartu tiap bulan" sheetId="10" r:id="rId4"/>
    <sheet name="kenaikan kartu aktif" sheetId="4" r:id="rId5"/>
    <sheet name="naik turun (principal, jenis)" sheetId="5" r:id="rId6"/>
    <sheet name="kartu baru vs aktivasi" sheetId="7" r:id="rId7"/>
    <sheet name="Sheet1" sheetId="9" r:id="rId8"/>
  </sheets>
  <calcPr calcId="191028"/>
  <pivotCaches>
    <pivotCache cacheId="731" r:id="rId9"/>
    <pivotCache cacheId="732" r:id="rId10"/>
    <pivotCache cacheId="733" r:id="rId11"/>
    <pivotCache cacheId="734" r:id="rId12"/>
    <pivotCache cacheId="735" r:id="rId13"/>
    <pivotCache cacheId="736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L5" i="5" l="1"/>
  <c r="AL6" i="5"/>
  <c r="AL7" i="5"/>
  <c r="AL8" i="5"/>
  <c r="AL9" i="5"/>
  <c r="AL10" i="5"/>
  <c r="AL11" i="5"/>
  <c r="AL12" i="5"/>
  <c r="AL13" i="5"/>
  <c r="AL14" i="5"/>
  <c r="AL15" i="5"/>
  <c r="AL16" i="5"/>
  <c r="AL17" i="5"/>
  <c r="AL18" i="5"/>
  <c r="AL19" i="5"/>
  <c r="AL20" i="5"/>
  <c r="AL21" i="5"/>
  <c r="AL22" i="5"/>
  <c r="AL23" i="5"/>
  <c r="W45" i="5"/>
  <c r="X45" i="5" s="1"/>
  <c r="W44" i="5"/>
  <c r="X44" i="5" s="1"/>
  <c r="W43" i="5"/>
  <c r="X43" i="5" s="1"/>
  <c r="W42" i="5"/>
  <c r="X42" i="5" s="1"/>
  <c r="W41" i="5"/>
  <c r="X41" i="5" s="1"/>
  <c r="W40" i="5"/>
  <c r="X40" i="5" s="1"/>
  <c r="W39" i="5"/>
  <c r="X39" i="5" s="1"/>
  <c r="W38" i="5"/>
  <c r="X38" i="5" s="1"/>
  <c r="W37" i="5"/>
  <c r="X37" i="5" s="1"/>
  <c r="W36" i="5"/>
  <c r="X36" i="5" s="1"/>
  <c r="W35" i="5"/>
  <c r="X35" i="5" s="1"/>
  <c r="W34" i="5"/>
  <c r="X34" i="5" s="1"/>
  <c r="W33" i="5"/>
  <c r="X33" i="5" s="1"/>
  <c r="W32" i="5"/>
  <c r="X32" i="5" s="1"/>
  <c r="W31" i="5"/>
  <c r="X31" i="5" s="1"/>
  <c r="W30" i="5"/>
  <c r="X30" i="5" s="1"/>
  <c r="W29" i="5"/>
  <c r="X29" i="5" s="1"/>
  <c r="W28" i="5"/>
  <c r="X28" i="5" s="1"/>
  <c r="W27" i="5"/>
  <c r="X27" i="5" s="1"/>
  <c r="C11" i="7"/>
  <c r="B11" i="7"/>
  <c r="D2" i="7"/>
  <c r="D3" i="7"/>
  <c r="D4" i="7"/>
  <c r="D5" i="7"/>
  <c r="D6" i="7"/>
  <c r="D7" i="7"/>
  <c r="D8" i="7"/>
  <c r="D9" i="7"/>
  <c r="D10" i="7"/>
  <c r="AI17" i="5"/>
  <c r="AJ17" i="5"/>
  <c r="AI22" i="5"/>
  <c r="AJ22" i="5"/>
  <c r="AI9" i="5"/>
  <c r="AJ9" i="5"/>
  <c r="AI11" i="5"/>
  <c r="AJ11" i="5"/>
  <c r="AI19" i="5"/>
  <c r="AJ19" i="5"/>
  <c r="AI13" i="5"/>
  <c r="AJ13" i="5"/>
  <c r="AI20" i="5"/>
  <c r="AJ20" i="5"/>
  <c r="AI14" i="5"/>
  <c r="AJ14" i="5"/>
  <c r="AI5" i="5"/>
  <c r="AJ5" i="5"/>
  <c r="AI12" i="5"/>
  <c r="AJ12" i="5"/>
  <c r="W3" i="5"/>
  <c r="AE6" i="5"/>
  <c r="AF6" i="5"/>
  <c r="AG6" i="5"/>
  <c r="AH6" i="5"/>
  <c r="AI6" i="5"/>
  <c r="AJ6" i="5"/>
  <c r="AK6" i="5"/>
  <c r="AE21" i="5"/>
  <c r="AF21" i="5"/>
  <c r="AG21" i="5"/>
  <c r="AH21" i="5"/>
  <c r="AI21" i="5"/>
  <c r="AJ21" i="5"/>
  <c r="AK21" i="5"/>
  <c r="AE7" i="5"/>
  <c r="AF7" i="5"/>
  <c r="AG7" i="5"/>
  <c r="AH7" i="5"/>
  <c r="AI7" i="5"/>
  <c r="AJ7" i="5"/>
  <c r="AK7" i="5"/>
  <c r="AE18" i="5"/>
  <c r="AF18" i="5"/>
  <c r="AG18" i="5"/>
  <c r="AH18" i="5"/>
  <c r="AI18" i="5"/>
  <c r="AJ18" i="5"/>
  <c r="AK18" i="5"/>
  <c r="AE23" i="5"/>
  <c r="AF23" i="5"/>
  <c r="AG23" i="5"/>
  <c r="AH23" i="5"/>
  <c r="AI23" i="5"/>
  <c r="AJ23" i="5"/>
  <c r="AK23" i="5"/>
  <c r="AE17" i="5"/>
  <c r="AF17" i="5"/>
  <c r="AG17" i="5"/>
  <c r="AH17" i="5"/>
  <c r="AK17" i="5"/>
  <c r="AE22" i="5"/>
  <c r="AF22" i="5"/>
  <c r="AG22" i="5"/>
  <c r="AH22" i="5"/>
  <c r="AK22" i="5"/>
  <c r="AE9" i="5"/>
  <c r="AF9" i="5"/>
  <c r="AG9" i="5"/>
  <c r="AH9" i="5"/>
  <c r="AK9" i="5"/>
  <c r="AE11" i="5"/>
  <c r="AF11" i="5"/>
  <c r="AG11" i="5"/>
  <c r="AH11" i="5"/>
  <c r="AK11" i="5"/>
  <c r="AE19" i="5"/>
  <c r="AF19" i="5"/>
  <c r="AG19" i="5"/>
  <c r="AH19" i="5"/>
  <c r="AK19" i="5"/>
  <c r="AE13" i="5"/>
  <c r="AF13" i="5"/>
  <c r="AG13" i="5"/>
  <c r="AH13" i="5"/>
  <c r="AK13" i="5"/>
  <c r="AE20" i="5"/>
  <c r="AF20" i="5"/>
  <c r="AG20" i="5"/>
  <c r="AH20" i="5"/>
  <c r="AK20" i="5"/>
  <c r="AE14" i="5"/>
  <c r="AF14" i="5"/>
  <c r="AG14" i="5"/>
  <c r="AH14" i="5"/>
  <c r="AK14" i="5"/>
  <c r="AE5" i="5"/>
  <c r="AF5" i="5"/>
  <c r="AG5" i="5"/>
  <c r="AH5" i="5"/>
  <c r="AK5" i="5"/>
  <c r="AE12" i="5"/>
  <c r="AF12" i="5"/>
  <c r="AG12" i="5"/>
  <c r="AH12" i="5"/>
  <c r="AK12" i="5"/>
  <c r="AE10" i="5"/>
  <c r="AF10" i="5"/>
  <c r="AG10" i="5"/>
  <c r="AH10" i="5"/>
  <c r="AI10" i="5"/>
  <c r="AJ10" i="5"/>
  <c r="AK10" i="5"/>
  <c r="AE16" i="5"/>
  <c r="AF16" i="5"/>
  <c r="AG16" i="5"/>
  <c r="AH16" i="5"/>
  <c r="AI16" i="5"/>
  <c r="AJ16" i="5"/>
  <c r="AK16" i="5"/>
  <c r="AE8" i="5"/>
  <c r="AF8" i="5"/>
  <c r="AG8" i="5"/>
  <c r="AH8" i="5"/>
  <c r="AI8" i="5"/>
  <c r="AJ8" i="5"/>
  <c r="AK8" i="5"/>
  <c r="AE15" i="5"/>
  <c r="AF15" i="5"/>
  <c r="AG15" i="5"/>
  <c r="AH15" i="5"/>
  <c r="AI15" i="5"/>
  <c r="AJ15" i="5"/>
  <c r="AK15" i="5"/>
  <c r="AD21" i="5"/>
  <c r="AD7" i="5"/>
  <c r="AD18" i="5"/>
  <c r="AD23" i="5"/>
  <c r="AD17" i="5"/>
  <c r="AD22" i="5"/>
  <c r="AD9" i="5"/>
  <c r="AD11" i="5"/>
  <c r="AD19" i="5"/>
  <c r="AD13" i="5"/>
  <c r="AD20" i="5"/>
  <c r="AD14" i="5"/>
  <c r="AD5" i="5"/>
  <c r="AD12" i="5"/>
  <c r="AD10" i="5"/>
  <c r="AD16" i="5"/>
  <c r="AD8" i="5"/>
  <c r="AD15" i="5"/>
  <c r="AD6" i="5"/>
  <c r="J32" i="5"/>
  <c r="J50" i="5"/>
  <c r="K50" i="5" s="1"/>
  <c r="J49" i="5"/>
  <c r="K49" i="5" s="1"/>
  <c r="J48" i="5"/>
  <c r="K48" i="5" s="1"/>
  <c r="J47" i="5"/>
  <c r="K47" i="5" s="1"/>
  <c r="J46" i="5"/>
  <c r="K46" i="5" s="1"/>
  <c r="J45" i="5"/>
  <c r="K45" i="5" s="1"/>
  <c r="J44" i="5"/>
  <c r="K44" i="5" s="1"/>
  <c r="J43" i="5"/>
  <c r="K43" i="5" s="1"/>
  <c r="J42" i="5"/>
  <c r="K42" i="5" s="1"/>
  <c r="J41" i="5"/>
  <c r="K41" i="5" s="1"/>
  <c r="J40" i="5"/>
  <c r="K40" i="5" s="1"/>
  <c r="J39" i="5"/>
  <c r="K39" i="5" s="1"/>
  <c r="J38" i="5"/>
  <c r="K38" i="5" s="1"/>
  <c r="J37" i="5"/>
  <c r="K37" i="5" s="1"/>
  <c r="J36" i="5"/>
  <c r="K36" i="5" s="1"/>
  <c r="J35" i="5"/>
  <c r="K35" i="5" s="1"/>
  <c r="J34" i="5"/>
  <c r="K34" i="5" s="1"/>
  <c r="J33" i="5"/>
  <c r="K33" i="5" s="1"/>
  <c r="K32" i="5"/>
  <c r="D11" i="7" l="1"/>
</calcChain>
</file>

<file path=xl/sharedStrings.xml><?xml version="1.0" encoding="utf-8"?>
<sst xmlns="http://schemas.openxmlformats.org/spreadsheetml/2006/main" count="2420" uniqueCount="122">
  <si>
    <t>posisi</t>
  </si>
  <si>
    <t>principal</t>
  </si>
  <si>
    <t>jenis_kartu</t>
  </si>
  <si>
    <t>jml_kartu</t>
  </si>
  <si>
    <t>GPN</t>
  </si>
  <si>
    <t>BANSOS</t>
  </si>
  <si>
    <t>Sum of jml_kartu</t>
  </si>
  <si>
    <t>EBIZ</t>
  </si>
  <si>
    <t>GOLD</t>
  </si>
  <si>
    <t>KARTUKU</t>
  </si>
  <si>
    <t>PRIVATE LABEL</t>
  </si>
  <si>
    <t>KARTUMU</t>
  </si>
  <si>
    <t>CORPORATE SPENDING CARD</t>
  </si>
  <si>
    <t>VISA</t>
  </si>
  <si>
    <t>PLATINUM</t>
  </si>
  <si>
    <t>SILVER</t>
  </si>
  <si>
    <t>SIMPEL</t>
  </si>
  <si>
    <t>VIRTUAL ACCOUNT</t>
  </si>
  <si>
    <t>GOLD BISNIS</t>
  </si>
  <si>
    <t>PLATINUM BISNIS</t>
  </si>
  <si>
    <t>PRIORITAS</t>
  </si>
  <si>
    <t>SILVER VIRTUAL CARD</t>
  </si>
  <si>
    <t>Grand Total</t>
  </si>
  <si>
    <t>QUERY</t>
  </si>
  <si>
    <t>SELECT</t>
  </si>
  <si>
    <t xml:space="preserve">    a.time_pr AS posisi</t>
  </si>
  <si>
    <t xml:space="preserve">  , b.principal</t>
  </si>
  <si>
    <t xml:space="preserve">  , b.type AS jenis_kartu</t>
  </si>
  <si>
    <t xml:space="preserve">  , COUNT(DISTINCT a.ktkrtn) AS jml_kartu</t>
  </si>
  <si>
    <t>FROM (</t>
  </si>
  <si>
    <t xml:space="preserve">    SELECT</t>
  </si>
  <si>
    <t xml:space="preserve">        time_pr</t>
  </si>
  <si>
    <t xml:space="preserve">      , ktkrtn</t>
  </si>
  <si>
    <t xml:space="preserve">      , SUBSTR(ktkrtn , 1, 8) AS nobin</t>
  </si>
  <si>
    <t xml:space="preserve">    FROM prod_bm_bda_pst.bmstgics_koranpf</t>
  </si>
  <si>
    <t xml:space="preserve">    WHERE time_pr IN (20260731, 20260831, 20260930)</t>
  </si>
  <si>
    <t xml:space="preserve">      AND ktkrst = 1 AND ktspkd = 0</t>
  </si>
  <si>
    <t>) a</t>
  </si>
  <si>
    <t>INNER JOIN (</t>
  </si>
  <si>
    <t xml:space="preserve">    SELECT bin, principal, type</t>
  </si>
  <si>
    <t xml:space="preserve">    FROM newdatamart_pst.mapping_bin</t>
  </si>
  <si>
    <t>) b</t>
  </si>
  <si>
    <t xml:space="preserve">    ON CAST(a.nobin AS BIGINT) = CAST(b.bin AS BIGINT)</t>
  </si>
  <si>
    <t>GROUP BY 1, 2, 3</t>
  </si>
  <si>
    <t>ORDER BY 1, 2, 3;</t>
  </si>
  <si>
    <t>bulan_exp</t>
  </si>
  <si>
    <t>GPN Total</t>
  </si>
  <si>
    <t>PRIVATE LABEL Total</t>
  </si>
  <si>
    <t>VISA Total</t>
  </si>
  <si>
    <t>select</t>
  </si>
  <si>
    <t xml:space="preserve">    a.bulan_exp</t>
  </si>
  <si>
    <t xml:space="preserve">  , b.type                   AS jenis_kartu</t>
  </si>
  <si>
    <t>from (</t>
  </si>
  <si>
    <t xml:space="preserve">    select</t>
  </si>
  <si>
    <t xml:space="preserve">        ktkrtn</t>
  </si>
  <si>
    <t xml:space="preserve">      , SUBSTR(ktkrtn, 1, 8)  AS nobin</t>
  </si>
  <si>
    <t xml:space="preserve">      , SUBSTR(CAST(ktgtdt AS STRING), 2, 4)  AS bulan_exp</t>
  </si>
  <si>
    <t xml:space="preserve">    from prod_bm_bda_pst.bmstgics_koranpf</t>
  </si>
  <si>
    <t xml:space="preserve">    WHERE time_pr = 20260930</t>
  </si>
  <si>
    <t xml:space="preserve">      and ktspkd = 0 and ktkrst = 1                       </t>
  </si>
  <si>
    <t xml:space="preserve">      and CAST(ktgtdt AS BIGINT) BETWEEN 12601 and 12612</t>
  </si>
  <si>
    <t xml:space="preserve">      --and ktkipn = 12001912191</t>
  </si>
  <si>
    <t xml:space="preserve">    select bin, principal, type</t>
  </si>
  <si>
    <t xml:space="preserve">    from newdatamart_pst.mapping_bin</t>
  </si>
  <si>
    <t>tahun_exp</t>
  </si>
  <si>
    <t xml:space="preserve">3. Apakah jumlah kartu debit naik setiap bulan  di 2026? </t>
  </si>
  <si>
    <t>time_pr</t>
  </si>
  <si>
    <t>2. Kenaikan kartu aktif perbulan</t>
  </si>
  <si>
    <t>Selisih kenaikan dan penurunan kartu aktif perbulan</t>
  </si>
  <si>
    <t>Selisih</t>
  </si>
  <si>
    <t>% selisih</t>
  </si>
  <si>
    <t>Notes:</t>
  </si>
  <si>
    <t>*kartu debit mengalami kenaikan perbulan dan mengalami penurunan dibeberapa bulan, seperti bulan mei, juli, dan september</t>
  </si>
  <si>
    <t>4. Kenaikan / penurunan tertinggi di tahun 2026 oleh principal dan jenis kartu apa?</t>
  </si>
  <si>
    <t>*Kenaikan dan penurunan jenis kartu dan principal perbulannya</t>
  </si>
  <si>
    <t>20260131</t>
  </si>
  <si>
    <t>20260228</t>
  </si>
  <si>
    <t>20260331</t>
  </si>
  <si>
    <t>20260430</t>
  </si>
  <si>
    <t>20260531</t>
  </si>
  <si>
    <t>20260630</t>
  </si>
  <si>
    <t>20260731</t>
  </si>
  <si>
    <t>20260831</t>
  </si>
  <si>
    <t>20260930</t>
  </si>
  <si>
    <t>selisih jan-feb</t>
  </si>
  <si>
    <t>feb-mar</t>
  </si>
  <si>
    <t>mar-april</t>
  </si>
  <si>
    <t>apr-mei</t>
  </si>
  <si>
    <t>mei-jun</t>
  </si>
  <si>
    <t>jun-jul</t>
  </si>
  <si>
    <t>jul-agus</t>
  </si>
  <si>
    <t>agus-sep</t>
  </si>
  <si>
    <t>sept-jan</t>
  </si>
  <si>
    <t>selisih</t>
  </si>
  <si>
    <t>bulan</t>
  </si>
  <si>
    <t>kartu_baru</t>
  </si>
  <si>
    <t>kartu_aktivasi</t>
  </si>
  <si>
    <t xml:space="preserve">    bulan</t>
  </si>
  <si>
    <t xml:space="preserve">  , COUNT(DISTINCT CASE WHEN kategori = 'BARU'     THEN ktkrtn END) AS kartu_baru</t>
  </si>
  <si>
    <t xml:space="preserve">  , COUNT(DISTINCT CASE WHEN kategori = 'AKTIVASI' THEN ktkrtn END) AS kartu_aktivasi</t>
  </si>
  <si>
    <t xml:space="preserve">    select 'BARU' AS kategori</t>
  </si>
  <si>
    <t xml:space="preserve">         , SUBSTR(ktemdt, 2, 4) AS bulan</t>
  </si>
  <si>
    <t xml:space="preserve">         , ktkrtn</t>
  </si>
  <si>
    <t xml:space="preserve">      and CAST(ktemdt AS BIGINT) BETWEEN 1260101 and 1260930</t>
  </si>
  <si>
    <t xml:space="preserve"> </t>
  </si>
  <si>
    <t xml:space="preserve">    UNION ALL</t>
  </si>
  <si>
    <t xml:space="preserve">    select 'AKTIVASI' AS kategori</t>
  </si>
  <si>
    <t xml:space="preserve">         , SUBSTR(CAST(ktakdt AS STRING), 2, 4) AS bulan</t>
  </si>
  <si>
    <t xml:space="preserve">      and CAST(ktakdt AS BIGINT) BETWEEN 1260101 and 1260930</t>
  </si>
  <si>
    <t>GROUP BY 1</t>
  </si>
  <si>
    <t>ORDER BY 1;</t>
  </si>
  <si>
    <t>tahun</t>
  </si>
  <si>
    <t>channel</t>
  </si>
  <si>
    <t>CABANG - NBDS</t>
  </si>
  <si>
    <t>CABANG - OLD BDS</t>
  </si>
  <si>
    <t>avg 2025</t>
  </si>
  <si>
    <t>avg 2026</t>
  </si>
  <si>
    <t>CSM</t>
  </si>
  <si>
    <t>LIVIN</t>
  </si>
  <si>
    <t>OOB</t>
  </si>
  <si>
    <t>ECI/PROAKTIF</t>
  </si>
  <si>
    <t>Insight: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</si>
</sst>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/>
    <xf numFmtId="10" fontId="0" fillId="0" borderId="0" xfId="0" applyNumberFormat="1"/>
    <xf numFmtId="0" fontId="0" fillId="0" borderId="0" xfId="0" applyAlignment="1">
      <alignment horizontal="left" wrapText="1"/>
    </xf>
  </cellXfs>
  <cellStyles count="1">
    <cellStyle name="Normal" xfId="0" builtinId="0"/>
  </cellStyles>
  <dxfs count="38"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center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" formatCode="#,##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5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4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pivotCacheDefinition" Target="pivotCache/pivotCacheDefinition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2.752530555554" createdVersion="8" refreshedVersion="8" minRefreshableVersion="3" recordCount="57" xr:uid="{7C4E4C6B-01E5-41FA-82D9-1CDBBA8504D4}">
  <cacheSource type="worksheet">
    <worksheetSource ref="A1:D58" sheet="Kartu aktif"/>
  </cacheSource>
  <cacheFields count="4">
    <cacheField name="posisi" numFmtId="0">
      <sharedItems containsSemiMixedTypes="0" containsString="0" containsNumber="1" containsInteger="1" minValue="20260731" maxValue="20260930" count="3">
        <n v="20260731"/>
        <n v="20260831"/>
        <n v="20260930"/>
      </sharedItems>
    </cacheField>
    <cacheField name="principal" numFmtId="0">
      <sharedItems count="3">
        <s v="GPN"/>
        <s v="PRIVATE LABEL"/>
        <s v="VISA"/>
      </sharedItems>
    </cacheField>
    <cacheField name="jenis_kartu" numFmtId="0">
      <sharedItems count="14">
        <s v="BANSOS"/>
        <s v="EBIZ"/>
        <s v="GOLD"/>
        <s v="KARTUKU"/>
        <s v="KARTUMU"/>
        <s v="PLATINUM"/>
        <s v="SILVER"/>
        <s v="SIMPEL"/>
        <s v="VIRTUAL ACCOUNT"/>
        <s v="CORPORATE SPENDING CARD"/>
        <s v="GOLD BISNIS"/>
        <s v="PLATINUM BISNIS"/>
        <s v="PRIORITAS"/>
        <s v="SILVER VIRTUAL CARD"/>
      </sharedItems>
    </cacheField>
    <cacheField name="jml_kartu" numFmtId="0">
      <sharedItems containsSemiMixedTypes="0" containsString="0" containsNumber="1" containsInteger="1" minValue="1" maxValue="895031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408305787038" createdVersion="8" refreshedVersion="8" minRefreshableVersion="3" recordCount="88" xr:uid="{9D22DDA1-2B0D-4684-9F1C-5D7D53AA1D1B}">
  <cacheSource type="worksheet">
    <worksheetSource name="Table1"/>
  </cacheSource>
  <cacheFields count="4">
    <cacheField name="bulan_exp" numFmtId="0">
      <sharedItems containsSemiMixedTypes="0" containsString="0" containsNumber="1" containsInteger="1" minValue="2601" maxValue="2612" count="12">
        <n v="2601"/>
        <n v="2602"/>
        <n v="2603"/>
        <n v="2604"/>
        <n v="2605"/>
        <n v="2606"/>
        <n v="2607"/>
        <n v="2608"/>
        <n v="2609"/>
        <n v="2610"/>
        <n v="2611"/>
        <n v="2612"/>
      </sharedItems>
    </cacheField>
    <cacheField name="principal" numFmtId="0">
      <sharedItems count="3">
        <s v="GPN"/>
        <s v="PRIVATE LABEL"/>
        <s v="VISA"/>
      </sharedItems>
    </cacheField>
    <cacheField name="jenis_kartu" numFmtId="0">
      <sharedItems count="12">
        <s v="BANSOS"/>
        <s v="VIRTUAL ACCOUNT"/>
        <s v="KARTUMU"/>
        <s v="SIMPEL"/>
        <s v="PLATINUM"/>
        <s v="GOLD"/>
        <s v="KARTUKU"/>
        <s v="SILVER"/>
        <s v="GOLD BISNIS"/>
        <s v="PLATINUM BISNIS"/>
        <s v="PRIORITAS"/>
        <s v="CORPORATE SPENDING CARD"/>
      </sharedItems>
    </cacheField>
    <cacheField name="jml_kartu" numFmtId="0">
      <sharedItems containsSemiMixedTypes="0" containsString="0" containsNumber="1" containsInteger="1" minValue="1" maxValue="824579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445883680557" createdVersion="8" refreshedVersion="8" minRefreshableVersion="3" recordCount="171" xr:uid="{F80A19BA-54F7-49CC-9A69-559664D36EF3}">
  <cacheSource type="worksheet">
    <worksheetSource name="Table2"/>
  </cacheSource>
  <cacheFields count="4">
    <cacheField name="time_pr" numFmtId="0">
      <sharedItems containsSemiMixedTypes="0" containsString="0" containsNumber="1" containsInteger="1" minValue="20260131" maxValue="20260930" count="9">
        <n v="20260131"/>
        <n v="20260228"/>
        <n v="20260331"/>
        <n v="20260430"/>
        <n v="20260531"/>
        <n v="20260630"/>
        <n v="20260731"/>
        <n v="20260831"/>
        <n v="20260930"/>
      </sharedItems>
    </cacheField>
    <cacheField name="principal" numFmtId="0">
      <sharedItems/>
    </cacheField>
    <cacheField name="jenis_kartu" numFmtId="0">
      <sharedItems/>
    </cacheField>
    <cacheField name="jml_kartu" numFmtId="0">
      <sharedItems containsSemiMixedTypes="0" containsString="0" containsNumber="1" containsInteger="1" minValue="1" maxValue="896794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460058101853" createdVersion="8" refreshedVersion="8" minRefreshableVersion="3" recordCount="171" xr:uid="{E760CD51-8436-405F-8E9C-FC744D4C9EFC}">
  <cacheSource type="worksheet">
    <worksheetSource name="Table4"/>
  </cacheSource>
  <cacheFields count="4">
    <cacheField name="time_pr" numFmtId="0">
      <sharedItems containsSemiMixedTypes="0" containsString="0" containsNumber="1" containsInteger="1" minValue="20260131" maxValue="20260930" count="9">
        <n v="20260131"/>
        <n v="20260228"/>
        <n v="20260331"/>
        <n v="20260430"/>
        <n v="20260531"/>
        <n v="20260630"/>
        <n v="20260731"/>
        <n v="20260831"/>
        <n v="20260930"/>
      </sharedItems>
    </cacheField>
    <cacheField name="principal" numFmtId="0">
      <sharedItems count="3">
        <s v="GPN"/>
        <s v="PRIVATE LABEL"/>
        <s v="VISA"/>
      </sharedItems>
    </cacheField>
    <cacheField name="jenis_kartu" numFmtId="0">
      <sharedItems count="14">
        <s v="BANSOS"/>
        <s v="EBIZ"/>
        <s v="GOLD"/>
        <s v="KARTUKU"/>
        <s v="KARTUMU"/>
        <s v="PLATINUM"/>
        <s v="SILVER"/>
        <s v="SIMPEL"/>
        <s v="VIRTUAL ACCOUNT"/>
        <s v="CORPORATE SPENDING CARD"/>
        <s v="GOLD BISNIS"/>
        <s v="PLATINUM BISNIS"/>
        <s v="PRIORITAS"/>
        <s v="SILVER VIRTUAL CARD"/>
      </sharedItems>
    </cacheField>
    <cacheField name="jml_kartu" numFmtId="0">
      <sharedItems containsSemiMixedTypes="0" containsString="0" containsNumber="1" containsInteger="1" minValue="1" maxValue="8967941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820862615743" createdVersion="8" refreshedVersion="8" minRefreshableVersion="3" recordCount="116" xr:uid="{E83AB809-98F8-4C14-99E3-D275D0AC9450}">
  <cacheSource type="worksheet">
    <worksheetSource name="Table10"/>
  </cacheSource>
  <cacheFields count="4">
    <cacheField name="tahun" numFmtId="0">
      <sharedItems containsSemiMixedTypes="0" containsString="0" containsNumber="1" containsInteger="1" minValue="2025" maxValue="2026" count="2">
        <n v="2025"/>
        <n v="2026"/>
      </sharedItems>
    </cacheField>
    <cacheField name="bulan" numFmtId="0">
      <sharedItems containsSemiMixedTypes="0" containsString="0" containsNumber="1" containsInteger="1" minValue="2501" maxValue="2609"/>
    </cacheField>
    <cacheField name="channel" numFmtId="0">
      <sharedItems count="6">
        <s v="CABANG - NBDS"/>
        <s v="CABANG - OLD BDS"/>
        <s v="CSM"/>
        <s v="LIVIN"/>
        <s v="OOB"/>
        <s v="ECI/PROAKTIF"/>
      </sharedItems>
    </cacheField>
    <cacheField name="jml_kartu" numFmtId="0">
      <sharedItems containsSemiMixedTypes="0" containsString="0" containsNumber="1" containsInteger="1" minValue="9" maxValue="1436097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324.877926504632" createdVersion="8" refreshedVersion="8" minRefreshableVersion="3" recordCount="287" xr:uid="{4F37C109-410B-44A3-A2B3-1E1C77D9B45B}">
  <cacheSource type="worksheet">
    <worksheetSource name="Table13"/>
  </cacheSource>
  <cacheFields count="5">
    <cacheField name="tahun_exp" numFmtId="0">
      <sharedItems containsSemiMixedTypes="0" containsString="0" containsNumber="1" containsInteger="1" minValue="2025" maxValue="2026" count="2">
        <n v="2025"/>
        <n v="2026"/>
      </sharedItems>
    </cacheField>
    <cacheField name="bulan_exp" numFmtId="0">
      <sharedItems containsSemiMixedTypes="0" containsString="0" containsNumber="1" containsInteger="1" minValue="2501" maxValue="2609" count="21">
        <n v="2501"/>
        <n v="2502"/>
        <n v="2503"/>
        <n v="2504"/>
        <n v="2505"/>
        <n v="2506"/>
        <n v="2507"/>
        <n v="2508"/>
        <n v="2509"/>
        <n v="2510"/>
        <n v="2511"/>
        <n v="2512"/>
        <n v="2601"/>
        <n v="2602"/>
        <n v="2603"/>
        <n v="2604"/>
        <n v="2605"/>
        <n v="2606"/>
        <n v="2607"/>
        <n v="2608"/>
        <n v="2609"/>
      </sharedItems>
    </cacheField>
    <cacheField name="principal" numFmtId="0">
      <sharedItems/>
    </cacheField>
    <cacheField name="jenis_kartu" numFmtId="0">
      <sharedItems/>
    </cacheField>
    <cacheField name="jml_kartu" numFmtId="0">
      <sharedItems containsSemiMixedTypes="0" containsString="0" containsNumber="1" containsInteger="1" minValue="1" maxValue="1041893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">
  <r>
    <x v="0"/>
    <x v="0"/>
    <x v="0"/>
    <n v="1990060"/>
  </r>
  <r>
    <x v="0"/>
    <x v="0"/>
    <x v="1"/>
    <n v="4017"/>
  </r>
  <r>
    <x v="0"/>
    <x v="0"/>
    <x v="2"/>
    <n v="2000821"/>
  </r>
  <r>
    <x v="0"/>
    <x v="0"/>
    <x v="3"/>
    <n v="141574"/>
  </r>
  <r>
    <x v="0"/>
    <x v="0"/>
    <x v="4"/>
    <n v="615627"/>
  </r>
  <r>
    <x v="0"/>
    <x v="0"/>
    <x v="5"/>
    <n v="396754"/>
  </r>
  <r>
    <x v="0"/>
    <x v="0"/>
    <x v="6"/>
    <n v="8091350"/>
  </r>
  <r>
    <x v="0"/>
    <x v="0"/>
    <x v="7"/>
    <n v="540899"/>
  </r>
  <r>
    <x v="0"/>
    <x v="0"/>
    <x v="8"/>
    <n v="35511"/>
  </r>
  <r>
    <x v="0"/>
    <x v="1"/>
    <x v="0"/>
    <n v="8950313"/>
  </r>
  <r>
    <x v="0"/>
    <x v="2"/>
    <x v="9"/>
    <n v="3818"/>
  </r>
  <r>
    <x v="0"/>
    <x v="2"/>
    <x v="2"/>
    <n v="7902643"/>
  </r>
  <r>
    <x v="0"/>
    <x v="2"/>
    <x v="10"/>
    <n v="135013"/>
  </r>
  <r>
    <x v="0"/>
    <x v="2"/>
    <x v="5"/>
    <n v="3329016"/>
  </r>
  <r>
    <x v="0"/>
    <x v="2"/>
    <x v="11"/>
    <n v="199044"/>
  </r>
  <r>
    <x v="0"/>
    <x v="2"/>
    <x v="12"/>
    <n v="110909"/>
  </r>
  <r>
    <x v="0"/>
    <x v="2"/>
    <x v="6"/>
    <n v="1"/>
  </r>
  <r>
    <x v="0"/>
    <x v="2"/>
    <x v="13"/>
    <n v="1008930"/>
  </r>
  <r>
    <x v="0"/>
    <x v="2"/>
    <x v="8"/>
    <n v="6"/>
  </r>
  <r>
    <x v="1"/>
    <x v="0"/>
    <x v="0"/>
    <n v="1996182"/>
  </r>
  <r>
    <x v="1"/>
    <x v="0"/>
    <x v="1"/>
    <n v="3854"/>
  </r>
  <r>
    <x v="1"/>
    <x v="0"/>
    <x v="2"/>
    <n v="2017395"/>
  </r>
  <r>
    <x v="1"/>
    <x v="0"/>
    <x v="3"/>
    <n v="137945"/>
  </r>
  <r>
    <x v="1"/>
    <x v="0"/>
    <x v="4"/>
    <n v="569921"/>
  </r>
  <r>
    <x v="1"/>
    <x v="0"/>
    <x v="5"/>
    <n v="394329"/>
  </r>
  <r>
    <x v="1"/>
    <x v="0"/>
    <x v="6"/>
    <n v="8034855"/>
  </r>
  <r>
    <x v="1"/>
    <x v="0"/>
    <x v="7"/>
    <n v="547154"/>
  </r>
  <r>
    <x v="1"/>
    <x v="0"/>
    <x v="8"/>
    <n v="36177"/>
  </r>
  <r>
    <x v="1"/>
    <x v="1"/>
    <x v="0"/>
    <n v="8945700"/>
  </r>
  <r>
    <x v="1"/>
    <x v="2"/>
    <x v="9"/>
    <n v="3864"/>
  </r>
  <r>
    <x v="1"/>
    <x v="2"/>
    <x v="2"/>
    <n v="7928772"/>
  </r>
  <r>
    <x v="1"/>
    <x v="2"/>
    <x v="10"/>
    <n v="136623"/>
  </r>
  <r>
    <x v="1"/>
    <x v="2"/>
    <x v="5"/>
    <n v="3389415"/>
  </r>
  <r>
    <x v="1"/>
    <x v="2"/>
    <x v="11"/>
    <n v="200824"/>
  </r>
  <r>
    <x v="1"/>
    <x v="2"/>
    <x v="12"/>
    <n v="112894"/>
  </r>
  <r>
    <x v="1"/>
    <x v="2"/>
    <x v="6"/>
    <n v="1"/>
  </r>
  <r>
    <x v="1"/>
    <x v="2"/>
    <x v="13"/>
    <n v="1018757"/>
  </r>
  <r>
    <x v="1"/>
    <x v="2"/>
    <x v="8"/>
    <n v="6"/>
  </r>
  <r>
    <x v="2"/>
    <x v="0"/>
    <x v="0"/>
    <n v="2000255"/>
  </r>
  <r>
    <x v="2"/>
    <x v="0"/>
    <x v="1"/>
    <n v="3892"/>
  </r>
  <r>
    <x v="2"/>
    <x v="0"/>
    <x v="2"/>
    <n v="2013676"/>
  </r>
  <r>
    <x v="2"/>
    <x v="0"/>
    <x v="3"/>
    <n v="133646"/>
  </r>
  <r>
    <x v="2"/>
    <x v="0"/>
    <x v="4"/>
    <n v="523466"/>
  </r>
  <r>
    <x v="2"/>
    <x v="0"/>
    <x v="5"/>
    <n v="386438"/>
  </r>
  <r>
    <x v="2"/>
    <x v="0"/>
    <x v="6"/>
    <n v="7974683"/>
  </r>
  <r>
    <x v="2"/>
    <x v="0"/>
    <x v="7"/>
    <n v="543113"/>
  </r>
  <r>
    <x v="2"/>
    <x v="0"/>
    <x v="8"/>
    <n v="37899"/>
  </r>
  <r>
    <x v="2"/>
    <x v="1"/>
    <x v="0"/>
    <n v="8939694"/>
  </r>
  <r>
    <x v="2"/>
    <x v="2"/>
    <x v="9"/>
    <n v="4006"/>
  </r>
  <r>
    <x v="2"/>
    <x v="2"/>
    <x v="2"/>
    <n v="7949293"/>
  </r>
  <r>
    <x v="2"/>
    <x v="2"/>
    <x v="10"/>
    <n v="138005"/>
  </r>
  <r>
    <x v="2"/>
    <x v="2"/>
    <x v="5"/>
    <n v="3412714"/>
  </r>
  <r>
    <x v="2"/>
    <x v="2"/>
    <x v="11"/>
    <n v="202094"/>
  </r>
  <r>
    <x v="2"/>
    <x v="2"/>
    <x v="12"/>
    <n v="114846"/>
  </r>
  <r>
    <x v="2"/>
    <x v="2"/>
    <x v="6"/>
    <n v="1"/>
  </r>
  <r>
    <x v="2"/>
    <x v="2"/>
    <x v="13"/>
    <n v="1023050"/>
  </r>
  <r>
    <x v="2"/>
    <x v="2"/>
    <x v="8"/>
    <n v="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x v="0"/>
    <x v="0"/>
    <x v="0"/>
    <n v="353"/>
  </r>
  <r>
    <x v="0"/>
    <x v="0"/>
    <x v="1"/>
    <n v="303"/>
  </r>
  <r>
    <x v="0"/>
    <x v="1"/>
    <x v="0"/>
    <n v="242494"/>
  </r>
  <r>
    <x v="1"/>
    <x v="0"/>
    <x v="0"/>
    <n v="1156"/>
  </r>
  <r>
    <x v="1"/>
    <x v="0"/>
    <x v="1"/>
    <n v="162"/>
  </r>
  <r>
    <x v="1"/>
    <x v="1"/>
    <x v="0"/>
    <n v="76105"/>
  </r>
  <r>
    <x v="2"/>
    <x v="0"/>
    <x v="0"/>
    <n v="1658"/>
  </r>
  <r>
    <x v="2"/>
    <x v="0"/>
    <x v="2"/>
    <n v="3"/>
  </r>
  <r>
    <x v="2"/>
    <x v="0"/>
    <x v="3"/>
    <n v="12"/>
  </r>
  <r>
    <x v="2"/>
    <x v="0"/>
    <x v="1"/>
    <n v="112"/>
  </r>
  <r>
    <x v="2"/>
    <x v="1"/>
    <x v="0"/>
    <n v="4508"/>
  </r>
  <r>
    <x v="3"/>
    <x v="0"/>
    <x v="0"/>
    <n v="1915"/>
  </r>
  <r>
    <x v="3"/>
    <x v="0"/>
    <x v="1"/>
    <n v="111"/>
  </r>
  <r>
    <x v="3"/>
    <x v="1"/>
    <x v="0"/>
    <n v="104998"/>
  </r>
  <r>
    <x v="4"/>
    <x v="0"/>
    <x v="0"/>
    <n v="816"/>
  </r>
  <r>
    <x v="4"/>
    <x v="0"/>
    <x v="3"/>
    <n v="1"/>
  </r>
  <r>
    <x v="4"/>
    <x v="0"/>
    <x v="1"/>
    <n v="144"/>
  </r>
  <r>
    <x v="4"/>
    <x v="1"/>
    <x v="0"/>
    <n v="314373"/>
  </r>
  <r>
    <x v="5"/>
    <x v="0"/>
    <x v="0"/>
    <n v="532"/>
  </r>
  <r>
    <x v="5"/>
    <x v="0"/>
    <x v="1"/>
    <n v="214"/>
  </r>
  <r>
    <x v="5"/>
    <x v="1"/>
    <x v="0"/>
    <n v="139511"/>
  </r>
  <r>
    <x v="6"/>
    <x v="0"/>
    <x v="0"/>
    <n v="987"/>
  </r>
  <r>
    <x v="6"/>
    <x v="0"/>
    <x v="4"/>
    <n v="1"/>
  </r>
  <r>
    <x v="6"/>
    <x v="0"/>
    <x v="1"/>
    <n v="463"/>
  </r>
  <r>
    <x v="6"/>
    <x v="1"/>
    <x v="0"/>
    <n v="5459"/>
  </r>
  <r>
    <x v="7"/>
    <x v="0"/>
    <x v="0"/>
    <n v="3716"/>
  </r>
  <r>
    <x v="7"/>
    <x v="0"/>
    <x v="1"/>
    <n v="128"/>
  </r>
  <r>
    <x v="7"/>
    <x v="1"/>
    <x v="0"/>
    <n v="824579"/>
  </r>
  <r>
    <x v="8"/>
    <x v="0"/>
    <x v="0"/>
    <n v="15104"/>
  </r>
  <r>
    <x v="8"/>
    <x v="0"/>
    <x v="5"/>
    <n v="33137"/>
  </r>
  <r>
    <x v="8"/>
    <x v="0"/>
    <x v="6"/>
    <n v="10989"/>
  </r>
  <r>
    <x v="8"/>
    <x v="0"/>
    <x v="2"/>
    <n v="37760"/>
  </r>
  <r>
    <x v="8"/>
    <x v="0"/>
    <x v="4"/>
    <n v="7337"/>
  </r>
  <r>
    <x v="8"/>
    <x v="0"/>
    <x v="7"/>
    <n v="136507"/>
  </r>
  <r>
    <x v="8"/>
    <x v="0"/>
    <x v="3"/>
    <n v="25269"/>
  </r>
  <r>
    <x v="8"/>
    <x v="0"/>
    <x v="1"/>
    <n v="94"/>
  </r>
  <r>
    <x v="8"/>
    <x v="1"/>
    <x v="0"/>
    <n v="311609"/>
  </r>
  <r>
    <x v="8"/>
    <x v="2"/>
    <x v="5"/>
    <n v="97036"/>
  </r>
  <r>
    <x v="8"/>
    <x v="2"/>
    <x v="8"/>
    <n v="3118"/>
  </r>
  <r>
    <x v="8"/>
    <x v="2"/>
    <x v="4"/>
    <n v="17146"/>
  </r>
  <r>
    <x v="8"/>
    <x v="2"/>
    <x v="9"/>
    <n v="3962"/>
  </r>
  <r>
    <x v="8"/>
    <x v="2"/>
    <x v="10"/>
    <n v="3046"/>
  </r>
  <r>
    <x v="9"/>
    <x v="0"/>
    <x v="0"/>
    <n v="20138"/>
  </r>
  <r>
    <x v="9"/>
    <x v="0"/>
    <x v="5"/>
    <n v="27855"/>
  </r>
  <r>
    <x v="9"/>
    <x v="0"/>
    <x v="6"/>
    <n v="9524"/>
  </r>
  <r>
    <x v="9"/>
    <x v="0"/>
    <x v="2"/>
    <n v="26795"/>
  </r>
  <r>
    <x v="9"/>
    <x v="0"/>
    <x v="4"/>
    <n v="5391"/>
  </r>
  <r>
    <x v="9"/>
    <x v="0"/>
    <x v="7"/>
    <n v="144072"/>
  </r>
  <r>
    <x v="9"/>
    <x v="0"/>
    <x v="3"/>
    <n v="27323"/>
  </r>
  <r>
    <x v="9"/>
    <x v="0"/>
    <x v="1"/>
    <n v="179"/>
  </r>
  <r>
    <x v="9"/>
    <x v="1"/>
    <x v="0"/>
    <n v="41686"/>
  </r>
  <r>
    <x v="9"/>
    <x v="2"/>
    <x v="11"/>
    <n v="1"/>
  </r>
  <r>
    <x v="9"/>
    <x v="2"/>
    <x v="5"/>
    <n v="68763"/>
  </r>
  <r>
    <x v="9"/>
    <x v="2"/>
    <x v="8"/>
    <n v="3502"/>
  </r>
  <r>
    <x v="9"/>
    <x v="2"/>
    <x v="4"/>
    <n v="13897"/>
  </r>
  <r>
    <x v="9"/>
    <x v="2"/>
    <x v="9"/>
    <n v="4557"/>
  </r>
  <r>
    <x v="9"/>
    <x v="2"/>
    <x v="10"/>
    <n v="3824"/>
  </r>
  <r>
    <x v="10"/>
    <x v="0"/>
    <x v="0"/>
    <n v="8085"/>
  </r>
  <r>
    <x v="10"/>
    <x v="0"/>
    <x v="5"/>
    <n v="36603"/>
  </r>
  <r>
    <x v="10"/>
    <x v="0"/>
    <x v="6"/>
    <n v="6195"/>
  </r>
  <r>
    <x v="10"/>
    <x v="0"/>
    <x v="2"/>
    <n v="23856"/>
  </r>
  <r>
    <x v="10"/>
    <x v="0"/>
    <x v="4"/>
    <n v="8196"/>
  </r>
  <r>
    <x v="10"/>
    <x v="0"/>
    <x v="7"/>
    <n v="169733"/>
  </r>
  <r>
    <x v="10"/>
    <x v="0"/>
    <x v="3"/>
    <n v="21776"/>
  </r>
  <r>
    <x v="10"/>
    <x v="0"/>
    <x v="1"/>
    <n v="255"/>
  </r>
  <r>
    <x v="10"/>
    <x v="1"/>
    <x v="0"/>
    <n v="342055"/>
  </r>
  <r>
    <x v="10"/>
    <x v="2"/>
    <x v="11"/>
    <n v="34"/>
  </r>
  <r>
    <x v="10"/>
    <x v="2"/>
    <x v="5"/>
    <n v="104310"/>
  </r>
  <r>
    <x v="10"/>
    <x v="2"/>
    <x v="8"/>
    <n v="3079"/>
  </r>
  <r>
    <x v="10"/>
    <x v="2"/>
    <x v="4"/>
    <n v="19764"/>
  </r>
  <r>
    <x v="10"/>
    <x v="2"/>
    <x v="9"/>
    <n v="2454"/>
  </r>
  <r>
    <x v="10"/>
    <x v="2"/>
    <x v="10"/>
    <n v="3796"/>
  </r>
  <r>
    <x v="10"/>
    <x v="2"/>
    <x v="1"/>
    <n v="2"/>
  </r>
  <r>
    <x v="11"/>
    <x v="0"/>
    <x v="0"/>
    <n v="6644"/>
  </r>
  <r>
    <x v="11"/>
    <x v="0"/>
    <x v="5"/>
    <n v="32234"/>
  </r>
  <r>
    <x v="11"/>
    <x v="0"/>
    <x v="6"/>
    <n v="5836"/>
  </r>
  <r>
    <x v="11"/>
    <x v="0"/>
    <x v="2"/>
    <n v="13178"/>
  </r>
  <r>
    <x v="11"/>
    <x v="0"/>
    <x v="4"/>
    <n v="4975"/>
  </r>
  <r>
    <x v="11"/>
    <x v="0"/>
    <x v="7"/>
    <n v="78441"/>
  </r>
  <r>
    <x v="11"/>
    <x v="0"/>
    <x v="3"/>
    <n v="9480"/>
  </r>
  <r>
    <x v="11"/>
    <x v="0"/>
    <x v="1"/>
    <n v="768"/>
  </r>
  <r>
    <x v="11"/>
    <x v="1"/>
    <x v="0"/>
    <n v="21847"/>
  </r>
  <r>
    <x v="11"/>
    <x v="2"/>
    <x v="11"/>
    <n v="3"/>
  </r>
  <r>
    <x v="11"/>
    <x v="2"/>
    <x v="5"/>
    <n v="123806"/>
  </r>
  <r>
    <x v="11"/>
    <x v="2"/>
    <x v="8"/>
    <n v="1790"/>
  </r>
  <r>
    <x v="11"/>
    <x v="2"/>
    <x v="4"/>
    <n v="27444"/>
  </r>
  <r>
    <x v="11"/>
    <x v="2"/>
    <x v="9"/>
    <n v="2631"/>
  </r>
  <r>
    <x v="11"/>
    <x v="2"/>
    <x v="10"/>
    <n v="361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s v="GPN"/>
    <s v="BANSOS"/>
    <n v="1676583"/>
  </r>
  <r>
    <x v="0"/>
    <s v="GPN"/>
    <s v="EBIZ"/>
    <n v="85007"/>
  </r>
  <r>
    <x v="0"/>
    <s v="GPN"/>
    <s v="GOLD"/>
    <n v="1831763"/>
  </r>
  <r>
    <x v="0"/>
    <s v="GPN"/>
    <s v="KARTUKU"/>
    <n v="157883"/>
  </r>
  <r>
    <x v="0"/>
    <s v="GPN"/>
    <s v="KARTUMU"/>
    <n v="910590"/>
  </r>
  <r>
    <x v="0"/>
    <s v="GPN"/>
    <s v="PLATINUM"/>
    <n v="390635"/>
  </r>
  <r>
    <x v="0"/>
    <s v="GPN"/>
    <s v="SILVER"/>
    <n v="8165506"/>
  </r>
  <r>
    <x v="0"/>
    <s v="GPN"/>
    <s v="SIMPEL"/>
    <n v="497283"/>
  </r>
  <r>
    <x v="0"/>
    <s v="GPN"/>
    <s v="VIRTUAL ACCOUNT"/>
    <n v="33335"/>
  </r>
  <r>
    <x v="0"/>
    <s v="PRIVATE LABEL"/>
    <s v="BANSOS"/>
    <n v="8967941"/>
  </r>
  <r>
    <x v="0"/>
    <s v="VISA"/>
    <s v="CORPORATE SPENDING CARD"/>
    <n v="2404"/>
  </r>
  <r>
    <x v="0"/>
    <s v="VISA"/>
    <s v="GOLD"/>
    <n v="7979604"/>
  </r>
  <r>
    <x v="0"/>
    <s v="VISA"/>
    <s v="GOLD BISNIS"/>
    <n v="136749"/>
  </r>
  <r>
    <x v="0"/>
    <s v="VISA"/>
    <s v="PLATINUM"/>
    <n v="3008912"/>
  </r>
  <r>
    <x v="0"/>
    <s v="VISA"/>
    <s v="PLATINUM BISNIS"/>
    <n v="199536"/>
  </r>
  <r>
    <x v="0"/>
    <s v="VISA"/>
    <s v="PRIORITAS"/>
    <n v="95005"/>
  </r>
  <r>
    <x v="0"/>
    <s v="VISA"/>
    <s v="SILVER"/>
    <n v="4"/>
  </r>
  <r>
    <x v="0"/>
    <s v="VISA"/>
    <s v="SILVER VIRTUAL CARD"/>
    <n v="973506"/>
  </r>
  <r>
    <x v="0"/>
    <s v="VISA"/>
    <s v="VIRTUAL ACCOUNT"/>
    <n v="6"/>
  </r>
  <r>
    <x v="1"/>
    <s v="GPN"/>
    <s v="BANSOS"/>
    <n v="1683706"/>
  </r>
  <r>
    <x v="1"/>
    <s v="GPN"/>
    <s v="EBIZ"/>
    <n v="85007"/>
  </r>
  <r>
    <x v="1"/>
    <s v="GPN"/>
    <s v="GOLD"/>
    <n v="1868819"/>
  </r>
  <r>
    <x v="1"/>
    <s v="GPN"/>
    <s v="KARTUKU"/>
    <n v="157638"/>
  </r>
  <r>
    <x v="1"/>
    <s v="GPN"/>
    <s v="KARTUMU"/>
    <n v="875967"/>
  </r>
  <r>
    <x v="1"/>
    <s v="GPN"/>
    <s v="PLATINUM"/>
    <n v="392037"/>
  </r>
  <r>
    <x v="1"/>
    <s v="GPN"/>
    <s v="SILVER"/>
    <n v="8167114"/>
  </r>
  <r>
    <x v="1"/>
    <s v="GPN"/>
    <s v="SIMPEL"/>
    <n v="504411"/>
  </r>
  <r>
    <x v="1"/>
    <s v="GPN"/>
    <s v="VIRTUAL ACCOUNT"/>
    <n v="34116"/>
  </r>
  <r>
    <x v="1"/>
    <s v="PRIVATE LABEL"/>
    <s v="BANSOS"/>
    <n v="8959878"/>
  </r>
  <r>
    <x v="1"/>
    <s v="VISA"/>
    <s v="CORPORATE SPENDING CARD"/>
    <n v="3481"/>
  </r>
  <r>
    <x v="1"/>
    <s v="VISA"/>
    <s v="GOLD"/>
    <n v="7992509"/>
  </r>
  <r>
    <x v="1"/>
    <s v="VISA"/>
    <s v="GOLD BISNIS"/>
    <n v="137319"/>
  </r>
  <r>
    <x v="1"/>
    <s v="VISA"/>
    <s v="PLATINUM"/>
    <n v="3056963"/>
  </r>
  <r>
    <x v="1"/>
    <s v="VISA"/>
    <s v="PLATINUM BISNIS"/>
    <n v="200959"/>
  </r>
  <r>
    <x v="1"/>
    <s v="VISA"/>
    <s v="PRIORITAS"/>
    <n v="97907"/>
  </r>
  <r>
    <x v="1"/>
    <s v="VISA"/>
    <s v="SILVER"/>
    <n v="4"/>
  </r>
  <r>
    <x v="1"/>
    <s v="VISA"/>
    <s v="SILVER VIRTUAL CARD"/>
    <n v="987364"/>
  </r>
  <r>
    <x v="1"/>
    <s v="VISA"/>
    <s v="VIRTUAL ACCOUNT"/>
    <n v="6"/>
  </r>
  <r>
    <x v="2"/>
    <s v="GPN"/>
    <s v="BANSOS"/>
    <n v="1833996"/>
  </r>
  <r>
    <x v="2"/>
    <s v="GPN"/>
    <s v="EBIZ"/>
    <n v="85614"/>
  </r>
  <r>
    <x v="2"/>
    <s v="GPN"/>
    <s v="GOLD"/>
    <n v="1902453"/>
  </r>
  <r>
    <x v="2"/>
    <s v="GPN"/>
    <s v="KARTUKU"/>
    <n v="154209"/>
  </r>
  <r>
    <x v="2"/>
    <s v="GPN"/>
    <s v="KARTUMU"/>
    <n v="822455"/>
  </r>
  <r>
    <x v="2"/>
    <s v="GPN"/>
    <s v="PLATINUM"/>
    <n v="397084"/>
  </r>
  <r>
    <x v="2"/>
    <s v="GPN"/>
    <s v="SILVER"/>
    <n v="8126421"/>
  </r>
  <r>
    <x v="2"/>
    <s v="GPN"/>
    <s v="SIMPEL"/>
    <n v="503369"/>
  </r>
  <r>
    <x v="2"/>
    <s v="GPN"/>
    <s v="VIRTUAL ACCOUNT"/>
    <n v="34494"/>
  </r>
  <r>
    <x v="2"/>
    <s v="PRIVATE LABEL"/>
    <s v="BANSOS"/>
    <n v="8957297"/>
  </r>
  <r>
    <x v="2"/>
    <s v="VISA"/>
    <s v="CORPORATE SPENDING CARD"/>
    <n v="3510"/>
  </r>
  <r>
    <x v="2"/>
    <s v="VISA"/>
    <s v="GOLD"/>
    <n v="7965350"/>
  </r>
  <r>
    <x v="2"/>
    <s v="VISA"/>
    <s v="GOLD BISNIS"/>
    <n v="135872"/>
  </r>
  <r>
    <x v="2"/>
    <s v="VISA"/>
    <s v="PLATINUM"/>
    <n v="3116127"/>
  </r>
  <r>
    <x v="2"/>
    <s v="VISA"/>
    <s v="PLATINUM BISNIS"/>
    <n v="199710"/>
  </r>
  <r>
    <x v="2"/>
    <s v="VISA"/>
    <s v="PRIORITAS"/>
    <n v="98171"/>
  </r>
  <r>
    <x v="2"/>
    <s v="VISA"/>
    <s v="SILVER"/>
    <n v="4"/>
  </r>
  <r>
    <x v="2"/>
    <s v="VISA"/>
    <s v="SILVER VIRTUAL CARD"/>
    <n v="1000395"/>
  </r>
  <r>
    <x v="2"/>
    <s v="VISA"/>
    <s v="VIRTUAL ACCOUNT"/>
    <n v="6"/>
  </r>
  <r>
    <x v="3"/>
    <s v="GPN"/>
    <s v="BANSOS"/>
    <n v="1848686"/>
  </r>
  <r>
    <x v="3"/>
    <s v="GPN"/>
    <s v="EBIZ"/>
    <n v="86308"/>
  </r>
  <r>
    <x v="3"/>
    <s v="GPN"/>
    <s v="GOLD"/>
    <n v="1935137"/>
  </r>
  <r>
    <x v="3"/>
    <s v="GPN"/>
    <s v="KARTUKU"/>
    <n v="149766"/>
  </r>
  <r>
    <x v="3"/>
    <s v="GPN"/>
    <s v="KARTUMU"/>
    <n v="763588"/>
  </r>
  <r>
    <x v="3"/>
    <s v="GPN"/>
    <s v="PLATINUM"/>
    <n v="399656"/>
  </r>
  <r>
    <x v="3"/>
    <s v="GPN"/>
    <s v="SILVER"/>
    <n v="8152902"/>
  </r>
  <r>
    <x v="3"/>
    <s v="GPN"/>
    <s v="SIMPEL"/>
    <n v="516505"/>
  </r>
  <r>
    <x v="3"/>
    <s v="GPN"/>
    <s v="VIRTUAL ACCOUNT"/>
    <n v="34593"/>
  </r>
  <r>
    <x v="3"/>
    <s v="PRIVATE LABEL"/>
    <s v="BANSOS"/>
    <n v="8953067"/>
  </r>
  <r>
    <x v="3"/>
    <s v="VISA"/>
    <s v="CORPORATE SPENDING CARD"/>
    <n v="3584"/>
  </r>
  <r>
    <x v="3"/>
    <s v="VISA"/>
    <s v="GOLD"/>
    <n v="7943863"/>
  </r>
  <r>
    <x v="3"/>
    <s v="VISA"/>
    <s v="GOLD BISNIS"/>
    <n v="134657"/>
  </r>
  <r>
    <x v="3"/>
    <s v="VISA"/>
    <s v="PLATINUM"/>
    <n v="3168295"/>
  </r>
  <r>
    <x v="3"/>
    <s v="VISA"/>
    <s v="PLATINUM BISNIS"/>
    <n v="200111"/>
  </r>
  <r>
    <x v="3"/>
    <s v="VISA"/>
    <s v="PRIORITAS"/>
    <n v="100451"/>
  </r>
  <r>
    <x v="3"/>
    <s v="VISA"/>
    <s v="SILVER"/>
    <n v="3"/>
  </r>
  <r>
    <x v="3"/>
    <s v="VISA"/>
    <s v="SILVER VIRTUAL CARD"/>
    <n v="1012751"/>
  </r>
  <r>
    <x v="3"/>
    <s v="VISA"/>
    <s v="VIRTUAL ACCOUNT"/>
    <n v="6"/>
  </r>
  <r>
    <x v="4"/>
    <s v="GPN"/>
    <s v="BANSOS"/>
    <n v="1853261"/>
  </r>
  <r>
    <x v="4"/>
    <s v="GPN"/>
    <s v="EBIZ"/>
    <n v="86171"/>
  </r>
  <r>
    <x v="4"/>
    <s v="GPN"/>
    <s v="GOLD"/>
    <n v="1950513"/>
  </r>
  <r>
    <x v="4"/>
    <s v="GPN"/>
    <s v="KARTUKU"/>
    <n v="146676"/>
  </r>
  <r>
    <x v="4"/>
    <s v="GPN"/>
    <s v="KARTUMU"/>
    <n v="705867"/>
  </r>
  <r>
    <x v="4"/>
    <s v="GPN"/>
    <s v="PLATINUM"/>
    <n v="397555"/>
  </r>
  <r>
    <x v="4"/>
    <s v="GPN"/>
    <s v="SILVER"/>
    <n v="8091536"/>
  </r>
  <r>
    <x v="4"/>
    <s v="GPN"/>
    <s v="SIMPEL"/>
    <n v="529041"/>
  </r>
  <r>
    <x v="4"/>
    <s v="GPN"/>
    <s v="VIRTUAL ACCOUNT"/>
    <n v="34949"/>
  </r>
  <r>
    <x v="4"/>
    <s v="PRIVATE LABEL"/>
    <s v="BANSOS"/>
    <n v="8945691"/>
  </r>
  <r>
    <x v="4"/>
    <s v="VISA"/>
    <s v="CORPORATE SPENDING CARD"/>
    <n v="3602"/>
  </r>
  <r>
    <x v="4"/>
    <s v="VISA"/>
    <s v="GOLD"/>
    <n v="7870817"/>
  </r>
  <r>
    <x v="4"/>
    <s v="VISA"/>
    <s v="GOLD BISNIS"/>
    <n v="132895"/>
  </r>
  <r>
    <x v="4"/>
    <s v="VISA"/>
    <s v="PLATINUM"/>
    <n v="3196815"/>
  </r>
  <r>
    <x v="4"/>
    <s v="VISA"/>
    <s v="PLATINUM BISNIS"/>
    <n v="197543"/>
  </r>
  <r>
    <x v="4"/>
    <s v="VISA"/>
    <s v="PRIORITAS"/>
    <n v="103298"/>
  </r>
  <r>
    <x v="4"/>
    <s v="VISA"/>
    <s v="SILVER"/>
    <n v="2"/>
  </r>
  <r>
    <x v="4"/>
    <s v="VISA"/>
    <s v="SILVER VIRTUAL CARD"/>
    <n v="1001478"/>
  </r>
  <r>
    <x v="4"/>
    <s v="VISA"/>
    <s v="VIRTUAL ACCOUNT"/>
    <n v="6"/>
  </r>
  <r>
    <x v="5"/>
    <s v="GPN"/>
    <s v="BANSOS"/>
    <n v="1991117"/>
  </r>
  <r>
    <x v="5"/>
    <s v="GPN"/>
    <s v="EBIZ"/>
    <n v="2736"/>
  </r>
  <r>
    <x v="5"/>
    <s v="GPN"/>
    <s v="GOLD"/>
    <n v="2007871"/>
  </r>
  <r>
    <x v="5"/>
    <s v="GPN"/>
    <s v="KARTUKU"/>
    <n v="143143"/>
  </r>
  <r>
    <x v="5"/>
    <s v="GPN"/>
    <s v="KARTUMU"/>
    <n v="685052"/>
  </r>
  <r>
    <x v="5"/>
    <s v="GPN"/>
    <s v="PLATINUM"/>
    <n v="405089"/>
  </r>
  <r>
    <x v="5"/>
    <s v="GPN"/>
    <s v="SILVER"/>
    <n v="8315618"/>
  </r>
  <r>
    <x v="5"/>
    <s v="GPN"/>
    <s v="SIMPEL"/>
    <n v="532237"/>
  </r>
  <r>
    <x v="5"/>
    <s v="GPN"/>
    <s v="VIRTUAL ACCOUNT"/>
    <n v="35156"/>
  </r>
  <r>
    <x v="5"/>
    <s v="PRIVATE LABEL"/>
    <s v="BANSOS"/>
    <n v="8940751"/>
  </r>
  <r>
    <x v="5"/>
    <s v="VISA"/>
    <s v="CORPORATE SPENDING CARD"/>
    <n v="3737"/>
  </r>
  <r>
    <x v="5"/>
    <s v="VISA"/>
    <s v="GOLD"/>
    <n v="7998680"/>
  </r>
  <r>
    <x v="5"/>
    <s v="VISA"/>
    <s v="GOLD BISNIS"/>
    <n v="135802"/>
  </r>
  <r>
    <x v="5"/>
    <s v="VISA"/>
    <s v="PLATINUM"/>
    <n v="3289139"/>
  </r>
  <r>
    <x v="5"/>
    <s v="VISA"/>
    <s v="PLATINUM BISNIS"/>
    <n v="201768"/>
  </r>
  <r>
    <x v="5"/>
    <s v="VISA"/>
    <s v="PRIORITAS"/>
    <n v="107257"/>
  </r>
  <r>
    <x v="5"/>
    <s v="VISA"/>
    <s v="SILVER"/>
    <n v="2"/>
  </r>
  <r>
    <x v="5"/>
    <s v="VISA"/>
    <s v="SILVER VIRTUAL CARD"/>
    <n v="1045621"/>
  </r>
  <r>
    <x v="5"/>
    <s v="VISA"/>
    <s v="VIRTUAL ACCOUNT"/>
    <n v="6"/>
  </r>
  <r>
    <x v="6"/>
    <s v="GPN"/>
    <s v="BANSOS"/>
    <n v="1990060"/>
  </r>
  <r>
    <x v="6"/>
    <s v="GPN"/>
    <s v="EBIZ"/>
    <n v="4017"/>
  </r>
  <r>
    <x v="6"/>
    <s v="GPN"/>
    <s v="GOLD"/>
    <n v="2000821"/>
  </r>
  <r>
    <x v="6"/>
    <s v="GPN"/>
    <s v="KARTUKU"/>
    <n v="141574"/>
  </r>
  <r>
    <x v="6"/>
    <s v="GPN"/>
    <s v="KARTUMU"/>
    <n v="615627"/>
  </r>
  <r>
    <x v="6"/>
    <s v="GPN"/>
    <s v="PLATINUM"/>
    <n v="396754"/>
  </r>
  <r>
    <x v="6"/>
    <s v="GPN"/>
    <s v="SILVER"/>
    <n v="8091350"/>
  </r>
  <r>
    <x v="6"/>
    <s v="GPN"/>
    <s v="SIMPEL"/>
    <n v="540899"/>
  </r>
  <r>
    <x v="6"/>
    <s v="GPN"/>
    <s v="VIRTUAL ACCOUNT"/>
    <n v="35511"/>
  </r>
  <r>
    <x v="6"/>
    <s v="PRIVATE LABEL"/>
    <s v="BANSOS"/>
    <n v="8950313"/>
  </r>
  <r>
    <x v="6"/>
    <s v="VISA"/>
    <s v="CORPORATE SPENDING CARD"/>
    <n v="3818"/>
  </r>
  <r>
    <x v="6"/>
    <s v="VISA"/>
    <s v="GOLD"/>
    <n v="7902643"/>
  </r>
  <r>
    <x v="6"/>
    <s v="VISA"/>
    <s v="GOLD BISNIS"/>
    <n v="135013"/>
  </r>
  <r>
    <x v="6"/>
    <s v="VISA"/>
    <s v="PLATINUM"/>
    <n v="3329016"/>
  </r>
  <r>
    <x v="6"/>
    <s v="VISA"/>
    <s v="PLATINUM BISNIS"/>
    <n v="199044"/>
  </r>
  <r>
    <x v="6"/>
    <s v="VISA"/>
    <s v="PRIORITAS"/>
    <n v="110909"/>
  </r>
  <r>
    <x v="6"/>
    <s v="VISA"/>
    <s v="SILVER"/>
    <n v="1"/>
  </r>
  <r>
    <x v="6"/>
    <s v="VISA"/>
    <s v="SILVER VIRTUAL CARD"/>
    <n v="1008930"/>
  </r>
  <r>
    <x v="6"/>
    <s v="VISA"/>
    <s v="VIRTUAL ACCOUNT"/>
    <n v="6"/>
  </r>
  <r>
    <x v="7"/>
    <s v="GPN"/>
    <s v="BANSOS"/>
    <n v="1996182"/>
  </r>
  <r>
    <x v="7"/>
    <s v="GPN"/>
    <s v="EBIZ"/>
    <n v="3854"/>
  </r>
  <r>
    <x v="7"/>
    <s v="GPN"/>
    <s v="GOLD"/>
    <n v="2017395"/>
  </r>
  <r>
    <x v="7"/>
    <s v="GPN"/>
    <s v="KARTUKU"/>
    <n v="137945"/>
  </r>
  <r>
    <x v="7"/>
    <s v="GPN"/>
    <s v="KARTUMU"/>
    <n v="569921"/>
  </r>
  <r>
    <x v="7"/>
    <s v="GPN"/>
    <s v="PLATINUM"/>
    <n v="394329"/>
  </r>
  <r>
    <x v="7"/>
    <s v="GPN"/>
    <s v="SILVER"/>
    <n v="8034855"/>
  </r>
  <r>
    <x v="7"/>
    <s v="GPN"/>
    <s v="SIMPEL"/>
    <n v="547154"/>
  </r>
  <r>
    <x v="7"/>
    <s v="GPN"/>
    <s v="VIRTUAL ACCOUNT"/>
    <n v="36177"/>
  </r>
  <r>
    <x v="7"/>
    <s v="PRIVATE LABEL"/>
    <s v="BANSOS"/>
    <n v="8945700"/>
  </r>
  <r>
    <x v="7"/>
    <s v="VISA"/>
    <s v="CORPORATE SPENDING CARD"/>
    <n v="3864"/>
  </r>
  <r>
    <x v="7"/>
    <s v="VISA"/>
    <s v="GOLD"/>
    <n v="7928772"/>
  </r>
  <r>
    <x v="7"/>
    <s v="VISA"/>
    <s v="GOLD BISNIS"/>
    <n v="136623"/>
  </r>
  <r>
    <x v="7"/>
    <s v="VISA"/>
    <s v="PLATINUM"/>
    <n v="3389415"/>
  </r>
  <r>
    <x v="7"/>
    <s v="VISA"/>
    <s v="PLATINUM BISNIS"/>
    <n v="200824"/>
  </r>
  <r>
    <x v="7"/>
    <s v="VISA"/>
    <s v="PRIORITAS"/>
    <n v="112894"/>
  </r>
  <r>
    <x v="7"/>
    <s v="VISA"/>
    <s v="SILVER"/>
    <n v="1"/>
  </r>
  <r>
    <x v="7"/>
    <s v="VISA"/>
    <s v="SILVER VIRTUAL CARD"/>
    <n v="1018757"/>
  </r>
  <r>
    <x v="7"/>
    <s v="VISA"/>
    <s v="VIRTUAL ACCOUNT"/>
    <n v="6"/>
  </r>
  <r>
    <x v="8"/>
    <s v="GPN"/>
    <s v="BANSOS"/>
    <n v="2000255"/>
  </r>
  <r>
    <x v="8"/>
    <s v="GPN"/>
    <s v="EBIZ"/>
    <n v="3892"/>
  </r>
  <r>
    <x v="8"/>
    <s v="GPN"/>
    <s v="GOLD"/>
    <n v="2013676"/>
  </r>
  <r>
    <x v="8"/>
    <s v="GPN"/>
    <s v="KARTUKU"/>
    <n v="133646"/>
  </r>
  <r>
    <x v="8"/>
    <s v="GPN"/>
    <s v="KARTUMU"/>
    <n v="523466"/>
  </r>
  <r>
    <x v="8"/>
    <s v="GPN"/>
    <s v="PLATINUM"/>
    <n v="386438"/>
  </r>
  <r>
    <x v="8"/>
    <s v="GPN"/>
    <s v="SILVER"/>
    <n v="7974683"/>
  </r>
  <r>
    <x v="8"/>
    <s v="GPN"/>
    <s v="SIMPEL"/>
    <n v="543113"/>
  </r>
  <r>
    <x v="8"/>
    <s v="GPN"/>
    <s v="VIRTUAL ACCOUNT"/>
    <n v="37899"/>
  </r>
  <r>
    <x v="8"/>
    <s v="PRIVATE LABEL"/>
    <s v="BANSOS"/>
    <n v="8939694"/>
  </r>
  <r>
    <x v="8"/>
    <s v="VISA"/>
    <s v="CORPORATE SPENDING CARD"/>
    <n v="4006"/>
  </r>
  <r>
    <x v="8"/>
    <s v="VISA"/>
    <s v="GOLD"/>
    <n v="7949293"/>
  </r>
  <r>
    <x v="8"/>
    <s v="VISA"/>
    <s v="GOLD BISNIS"/>
    <n v="138005"/>
  </r>
  <r>
    <x v="8"/>
    <s v="VISA"/>
    <s v="PLATINUM"/>
    <n v="3412714"/>
  </r>
  <r>
    <x v="8"/>
    <s v="VISA"/>
    <s v="PLATINUM BISNIS"/>
    <n v="202094"/>
  </r>
  <r>
    <x v="8"/>
    <s v="VISA"/>
    <s v="PRIORITAS"/>
    <n v="114846"/>
  </r>
  <r>
    <x v="8"/>
    <s v="VISA"/>
    <s v="SILVER"/>
    <n v="1"/>
  </r>
  <r>
    <x v="8"/>
    <s v="VISA"/>
    <s v="SILVER VIRTUAL CARD"/>
    <n v="1023050"/>
  </r>
  <r>
    <x v="8"/>
    <s v="VISA"/>
    <s v="VIRTUAL ACCOUNT"/>
    <n v="6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1">
  <r>
    <x v="0"/>
    <x v="0"/>
    <x v="0"/>
    <n v="1676583"/>
  </r>
  <r>
    <x v="0"/>
    <x v="0"/>
    <x v="1"/>
    <n v="85007"/>
  </r>
  <r>
    <x v="0"/>
    <x v="0"/>
    <x v="2"/>
    <n v="1831763"/>
  </r>
  <r>
    <x v="0"/>
    <x v="0"/>
    <x v="3"/>
    <n v="157883"/>
  </r>
  <r>
    <x v="0"/>
    <x v="0"/>
    <x v="4"/>
    <n v="910590"/>
  </r>
  <r>
    <x v="0"/>
    <x v="0"/>
    <x v="5"/>
    <n v="390635"/>
  </r>
  <r>
    <x v="0"/>
    <x v="0"/>
    <x v="6"/>
    <n v="8165506"/>
  </r>
  <r>
    <x v="0"/>
    <x v="0"/>
    <x v="7"/>
    <n v="497283"/>
  </r>
  <r>
    <x v="0"/>
    <x v="0"/>
    <x v="8"/>
    <n v="33335"/>
  </r>
  <r>
    <x v="0"/>
    <x v="1"/>
    <x v="0"/>
    <n v="8967941"/>
  </r>
  <r>
    <x v="0"/>
    <x v="2"/>
    <x v="9"/>
    <n v="2404"/>
  </r>
  <r>
    <x v="0"/>
    <x v="2"/>
    <x v="2"/>
    <n v="7979604"/>
  </r>
  <r>
    <x v="0"/>
    <x v="2"/>
    <x v="10"/>
    <n v="136749"/>
  </r>
  <r>
    <x v="0"/>
    <x v="2"/>
    <x v="5"/>
    <n v="3008912"/>
  </r>
  <r>
    <x v="0"/>
    <x v="2"/>
    <x v="11"/>
    <n v="199536"/>
  </r>
  <r>
    <x v="0"/>
    <x v="2"/>
    <x v="12"/>
    <n v="95005"/>
  </r>
  <r>
    <x v="0"/>
    <x v="2"/>
    <x v="6"/>
    <n v="4"/>
  </r>
  <r>
    <x v="0"/>
    <x v="2"/>
    <x v="13"/>
    <n v="973506"/>
  </r>
  <r>
    <x v="0"/>
    <x v="2"/>
    <x v="8"/>
    <n v="6"/>
  </r>
  <r>
    <x v="1"/>
    <x v="0"/>
    <x v="0"/>
    <n v="1683706"/>
  </r>
  <r>
    <x v="1"/>
    <x v="0"/>
    <x v="1"/>
    <n v="85007"/>
  </r>
  <r>
    <x v="1"/>
    <x v="0"/>
    <x v="2"/>
    <n v="1868819"/>
  </r>
  <r>
    <x v="1"/>
    <x v="0"/>
    <x v="3"/>
    <n v="157638"/>
  </r>
  <r>
    <x v="1"/>
    <x v="0"/>
    <x v="4"/>
    <n v="875967"/>
  </r>
  <r>
    <x v="1"/>
    <x v="0"/>
    <x v="5"/>
    <n v="392037"/>
  </r>
  <r>
    <x v="1"/>
    <x v="0"/>
    <x v="6"/>
    <n v="8167114"/>
  </r>
  <r>
    <x v="1"/>
    <x v="0"/>
    <x v="7"/>
    <n v="504411"/>
  </r>
  <r>
    <x v="1"/>
    <x v="0"/>
    <x v="8"/>
    <n v="34116"/>
  </r>
  <r>
    <x v="1"/>
    <x v="1"/>
    <x v="0"/>
    <n v="8959878"/>
  </r>
  <r>
    <x v="1"/>
    <x v="2"/>
    <x v="9"/>
    <n v="3481"/>
  </r>
  <r>
    <x v="1"/>
    <x v="2"/>
    <x v="2"/>
    <n v="7992509"/>
  </r>
  <r>
    <x v="1"/>
    <x v="2"/>
    <x v="10"/>
    <n v="137319"/>
  </r>
  <r>
    <x v="1"/>
    <x v="2"/>
    <x v="5"/>
    <n v="3056963"/>
  </r>
  <r>
    <x v="1"/>
    <x v="2"/>
    <x v="11"/>
    <n v="200959"/>
  </r>
  <r>
    <x v="1"/>
    <x v="2"/>
    <x v="12"/>
    <n v="97907"/>
  </r>
  <r>
    <x v="1"/>
    <x v="2"/>
    <x v="6"/>
    <n v="4"/>
  </r>
  <r>
    <x v="1"/>
    <x v="2"/>
    <x v="13"/>
    <n v="987364"/>
  </r>
  <r>
    <x v="1"/>
    <x v="2"/>
    <x v="8"/>
    <n v="6"/>
  </r>
  <r>
    <x v="2"/>
    <x v="0"/>
    <x v="0"/>
    <n v="1833996"/>
  </r>
  <r>
    <x v="2"/>
    <x v="0"/>
    <x v="1"/>
    <n v="85614"/>
  </r>
  <r>
    <x v="2"/>
    <x v="0"/>
    <x v="2"/>
    <n v="1902453"/>
  </r>
  <r>
    <x v="2"/>
    <x v="0"/>
    <x v="3"/>
    <n v="154209"/>
  </r>
  <r>
    <x v="2"/>
    <x v="0"/>
    <x v="4"/>
    <n v="822455"/>
  </r>
  <r>
    <x v="2"/>
    <x v="0"/>
    <x v="5"/>
    <n v="397084"/>
  </r>
  <r>
    <x v="2"/>
    <x v="0"/>
    <x v="6"/>
    <n v="8126421"/>
  </r>
  <r>
    <x v="2"/>
    <x v="0"/>
    <x v="7"/>
    <n v="503369"/>
  </r>
  <r>
    <x v="2"/>
    <x v="0"/>
    <x v="8"/>
    <n v="34494"/>
  </r>
  <r>
    <x v="2"/>
    <x v="1"/>
    <x v="0"/>
    <n v="8957297"/>
  </r>
  <r>
    <x v="2"/>
    <x v="2"/>
    <x v="9"/>
    <n v="3510"/>
  </r>
  <r>
    <x v="2"/>
    <x v="2"/>
    <x v="2"/>
    <n v="7965350"/>
  </r>
  <r>
    <x v="2"/>
    <x v="2"/>
    <x v="10"/>
    <n v="135872"/>
  </r>
  <r>
    <x v="2"/>
    <x v="2"/>
    <x v="5"/>
    <n v="3116127"/>
  </r>
  <r>
    <x v="2"/>
    <x v="2"/>
    <x v="11"/>
    <n v="199710"/>
  </r>
  <r>
    <x v="2"/>
    <x v="2"/>
    <x v="12"/>
    <n v="98171"/>
  </r>
  <r>
    <x v="2"/>
    <x v="2"/>
    <x v="6"/>
    <n v="4"/>
  </r>
  <r>
    <x v="2"/>
    <x v="2"/>
    <x v="13"/>
    <n v="1000395"/>
  </r>
  <r>
    <x v="2"/>
    <x v="2"/>
    <x v="8"/>
    <n v="6"/>
  </r>
  <r>
    <x v="3"/>
    <x v="0"/>
    <x v="0"/>
    <n v="1848686"/>
  </r>
  <r>
    <x v="3"/>
    <x v="0"/>
    <x v="1"/>
    <n v="86308"/>
  </r>
  <r>
    <x v="3"/>
    <x v="0"/>
    <x v="2"/>
    <n v="1935137"/>
  </r>
  <r>
    <x v="3"/>
    <x v="0"/>
    <x v="3"/>
    <n v="149766"/>
  </r>
  <r>
    <x v="3"/>
    <x v="0"/>
    <x v="4"/>
    <n v="763588"/>
  </r>
  <r>
    <x v="3"/>
    <x v="0"/>
    <x v="5"/>
    <n v="399656"/>
  </r>
  <r>
    <x v="3"/>
    <x v="0"/>
    <x v="6"/>
    <n v="8152902"/>
  </r>
  <r>
    <x v="3"/>
    <x v="0"/>
    <x v="7"/>
    <n v="516505"/>
  </r>
  <r>
    <x v="3"/>
    <x v="0"/>
    <x v="8"/>
    <n v="34593"/>
  </r>
  <r>
    <x v="3"/>
    <x v="1"/>
    <x v="0"/>
    <n v="8953067"/>
  </r>
  <r>
    <x v="3"/>
    <x v="2"/>
    <x v="9"/>
    <n v="3584"/>
  </r>
  <r>
    <x v="3"/>
    <x v="2"/>
    <x v="2"/>
    <n v="7943863"/>
  </r>
  <r>
    <x v="3"/>
    <x v="2"/>
    <x v="10"/>
    <n v="134657"/>
  </r>
  <r>
    <x v="3"/>
    <x v="2"/>
    <x v="5"/>
    <n v="3168295"/>
  </r>
  <r>
    <x v="3"/>
    <x v="2"/>
    <x v="11"/>
    <n v="200111"/>
  </r>
  <r>
    <x v="3"/>
    <x v="2"/>
    <x v="12"/>
    <n v="100451"/>
  </r>
  <r>
    <x v="3"/>
    <x v="2"/>
    <x v="6"/>
    <n v="3"/>
  </r>
  <r>
    <x v="3"/>
    <x v="2"/>
    <x v="13"/>
    <n v="1012751"/>
  </r>
  <r>
    <x v="3"/>
    <x v="2"/>
    <x v="8"/>
    <n v="6"/>
  </r>
  <r>
    <x v="4"/>
    <x v="0"/>
    <x v="0"/>
    <n v="1853261"/>
  </r>
  <r>
    <x v="4"/>
    <x v="0"/>
    <x v="1"/>
    <n v="86171"/>
  </r>
  <r>
    <x v="4"/>
    <x v="0"/>
    <x v="2"/>
    <n v="1950513"/>
  </r>
  <r>
    <x v="4"/>
    <x v="0"/>
    <x v="3"/>
    <n v="146676"/>
  </r>
  <r>
    <x v="4"/>
    <x v="0"/>
    <x v="4"/>
    <n v="705867"/>
  </r>
  <r>
    <x v="4"/>
    <x v="0"/>
    <x v="5"/>
    <n v="397555"/>
  </r>
  <r>
    <x v="4"/>
    <x v="0"/>
    <x v="6"/>
    <n v="8091536"/>
  </r>
  <r>
    <x v="4"/>
    <x v="0"/>
    <x v="7"/>
    <n v="529041"/>
  </r>
  <r>
    <x v="4"/>
    <x v="0"/>
    <x v="8"/>
    <n v="34949"/>
  </r>
  <r>
    <x v="4"/>
    <x v="1"/>
    <x v="0"/>
    <n v="8945691"/>
  </r>
  <r>
    <x v="4"/>
    <x v="2"/>
    <x v="9"/>
    <n v="3602"/>
  </r>
  <r>
    <x v="4"/>
    <x v="2"/>
    <x v="2"/>
    <n v="7870817"/>
  </r>
  <r>
    <x v="4"/>
    <x v="2"/>
    <x v="10"/>
    <n v="132895"/>
  </r>
  <r>
    <x v="4"/>
    <x v="2"/>
    <x v="5"/>
    <n v="3196815"/>
  </r>
  <r>
    <x v="4"/>
    <x v="2"/>
    <x v="11"/>
    <n v="197543"/>
  </r>
  <r>
    <x v="4"/>
    <x v="2"/>
    <x v="12"/>
    <n v="103298"/>
  </r>
  <r>
    <x v="4"/>
    <x v="2"/>
    <x v="6"/>
    <n v="2"/>
  </r>
  <r>
    <x v="4"/>
    <x v="2"/>
    <x v="13"/>
    <n v="1001478"/>
  </r>
  <r>
    <x v="4"/>
    <x v="2"/>
    <x v="8"/>
    <n v="6"/>
  </r>
  <r>
    <x v="5"/>
    <x v="0"/>
    <x v="0"/>
    <n v="1991117"/>
  </r>
  <r>
    <x v="5"/>
    <x v="0"/>
    <x v="1"/>
    <n v="2736"/>
  </r>
  <r>
    <x v="5"/>
    <x v="0"/>
    <x v="2"/>
    <n v="2007871"/>
  </r>
  <r>
    <x v="5"/>
    <x v="0"/>
    <x v="3"/>
    <n v="143143"/>
  </r>
  <r>
    <x v="5"/>
    <x v="0"/>
    <x v="4"/>
    <n v="685052"/>
  </r>
  <r>
    <x v="5"/>
    <x v="0"/>
    <x v="5"/>
    <n v="405089"/>
  </r>
  <r>
    <x v="5"/>
    <x v="0"/>
    <x v="6"/>
    <n v="8315618"/>
  </r>
  <r>
    <x v="5"/>
    <x v="0"/>
    <x v="7"/>
    <n v="532237"/>
  </r>
  <r>
    <x v="5"/>
    <x v="0"/>
    <x v="8"/>
    <n v="35156"/>
  </r>
  <r>
    <x v="5"/>
    <x v="1"/>
    <x v="0"/>
    <n v="8940751"/>
  </r>
  <r>
    <x v="5"/>
    <x v="2"/>
    <x v="9"/>
    <n v="3737"/>
  </r>
  <r>
    <x v="5"/>
    <x v="2"/>
    <x v="2"/>
    <n v="7998680"/>
  </r>
  <r>
    <x v="5"/>
    <x v="2"/>
    <x v="10"/>
    <n v="135802"/>
  </r>
  <r>
    <x v="5"/>
    <x v="2"/>
    <x v="5"/>
    <n v="3289139"/>
  </r>
  <r>
    <x v="5"/>
    <x v="2"/>
    <x v="11"/>
    <n v="201768"/>
  </r>
  <r>
    <x v="5"/>
    <x v="2"/>
    <x v="12"/>
    <n v="107257"/>
  </r>
  <r>
    <x v="5"/>
    <x v="2"/>
    <x v="6"/>
    <n v="2"/>
  </r>
  <r>
    <x v="5"/>
    <x v="2"/>
    <x v="13"/>
    <n v="1045621"/>
  </r>
  <r>
    <x v="5"/>
    <x v="2"/>
    <x v="8"/>
    <n v="6"/>
  </r>
  <r>
    <x v="6"/>
    <x v="0"/>
    <x v="0"/>
    <n v="1990060"/>
  </r>
  <r>
    <x v="6"/>
    <x v="0"/>
    <x v="1"/>
    <n v="4017"/>
  </r>
  <r>
    <x v="6"/>
    <x v="0"/>
    <x v="2"/>
    <n v="2000821"/>
  </r>
  <r>
    <x v="6"/>
    <x v="0"/>
    <x v="3"/>
    <n v="141574"/>
  </r>
  <r>
    <x v="6"/>
    <x v="0"/>
    <x v="4"/>
    <n v="615627"/>
  </r>
  <r>
    <x v="6"/>
    <x v="0"/>
    <x v="5"/>
    <n v="396754"/>
  </r>
  <r>
    <x v="6"/>
    <x v="0"/>
    <x v="6"/>
    <n v="8091350"/>
  </r>
  <r>
    <x v="6"/>
    <x v="0"/>
    <x v="7"/>
    <n v="540899"/>
  </r>
  <r>
    <x v="6"/>
    <x v="0"/>
    <x v="8"/>
    <n v="35511"/>
  </r>
  <r>
    <x v="6"/>
    <x v="1"/>
    <x v="0"/>
    <n v="8950313"/>
  </r>
  <r>
    <x v="6"/>
    <x v="2"/>
    <x v="9"/>
    <n v="3818"/>
  </r>
  <r>
    <x v="6"/>
    <x v="2"/>
    <x v="2"/>
    <n v="7902643"/>
  </r>
  <r>
    <x v="6"/>
    <x v="2"/>
    <x v="10"/>
    <n v="135013"/>
  </r>
  <r>
    <x v="6"/>
    <x v="2"/>
    <x v="5"/>
    <n v="3329016"/>
  </r>
  <r>
    <x v="6"/>
    <x v="2"/>
    <x v="11"/>
    <n v="199044"/>
  </r>
  <r>
    <x v="6"/>
    <x v="2"/>
    <x v="12"/>
    <n v="110909"/>
  </r>
  <r>
    <x v="6"/>
    <x v="2"/>
    <x v="6"/>
    <n v="1"/>
  </r>
  <r>
    <x v="6"/>
    <x v="2"/>
    <x v="13"/>
    <n v="1008930"/>
  </r>
  <r>
    <x v="6"/>
    <x v="2"/>
    <x v="8"/>
    <n v="6"/>
  </r>
  <r>
    <x v="7"/>
    <x v="0"/>
    <x v="0"/>
    <n v="1996182"/>
  </r>
  <r>
    <x v="7"/>
    <x v="0"/>
    <x v="1"/>
    <n v="3854"/>
  </r>
  <r>
    <x v="7"/>
    <x v="0"/>
    <x v="2"/>
    <n v="2017395"/>
  </r>
  <r>
    <x v="7"/>
    <x v="0"/>
    <x v="3"/>
    <n v="137945"/>
  </r>
  <r>
    <x v="7"/>
    <x v="0"/>
    <x v="4"/>
    <n v="569921"/>
  </r>
  <r>
    <x v="7"/>
    <x v="0"/>
    <x v="5"/>
    <n v="394329"/>
  </r>
  <r>
    <x v="7"/>
    <x v="0"/>
    <x v="6"/>
    <n v="8034855"/>
  </r>
  <r>
    <x v="7"/>
    <x v="0"/>
    <x v="7"/>
    <n v="547154"/>
  </r>
  <r>
    <x v="7"/>
    <x v="0"/>
    <x v="8"/>
    <n v="36177"/>
  </r>
  <r>
    <x v="7"/>
    <x v="1"/>
    <x v="0"/>
    <n v="8945700"/>
  </r>
  <r>
    <x v="7"/>
    <x v="2"/>
    <x v="9"/>
    <n v="3864"/>
  </r>
  <r>
    <x v="7"/>
    <x v="2"/>
    <x v="2"/>
    <n v="7928772"/>
  </r>
  <r>
    <x v="7"/>
    <x v="2"/>
    <x v="10"/>
    <n v="136623"/>
  </r>
  <r>
    <x v="7"/>
    <x v="2"/>
    <x v="5"/>
    <n v="3389415"/>
  </r>
  <r>
    <x v="7"/>
    <x v="2"/>
    <x v="11"/>
    <n v="200824"/>
  </r>
  <r>
    <x v="7"/>
    <x v="2"/>
    <x v="12"/>
    <n v="112894"/>
  </r>
  <r>
    <x v="7"/>
    <x v="2"/>
    <x v="6"/>
    <n v="1"/>
  </r>
  <r>
    <x v="7"/>
    <x v="2"/>
    <x v="13"/>
    <n v="1018757"/>
  </r>
  <r>
    <x v="7"/>
    <x v="2"/>
    <x v="8"/>
    <n v="6"/>
  </r>
  <r>
    <x v="8"/>
    <x v="0"/>
    <x v="0"/>
    <n v="2000255"/>
  </r>
  <r>
    <x v="8"/>
    <x v="0"/>
    <x v="1"/>
    <n v="3892"/>
  </r>
  <r>
    <x v="8"/>
    <x v="0"/>
    <x v="2"/>
    <n v="2013676"/>
  </r>
  <r>
    <x v="8"/>
    <x v="0"/>
    <x v="3"/>
    <n v="133646"/>
  </r>
  <r>
    <x v="8"/>
    <x v="0"/>
    <x v="4"/>
    <n v="523466"/>
  </r>
  <r>
    <x v="8"/>
    <x v="0"/>
    <x v="5"/>
    <n v="386438"/>
  </r>
  <r>
    <x v="8"/>
    <x v="0"/>
    <x v="6"/>
    <n v="7974683"/>
  </r>
  <r>
    <x v="8"/>
    <x v="0"/>
    <x v="7"/>
    <n v="543113"/>
  </r>
  <r>
    <x v="8"/>
    <x v="0"/>
    <x v="8"/>
    <n v="37899"/>
  </r>
  <r>
    <x v="8"/>
    <x v="1"/>
    <x v="0"/>
    <n v="8939694"/>
  </r>
  <r>
    <x v="8"/>
    <x v="2"/>
    <x v="9"/>
    <n v="4006"/>
  </r>
  <r>
    <x v="8"/>
    <x v="2"/>
    <x v="2"/>
    <n v="7949293"/>
  </r>
  <r>
    <x v="8"/>
    <x v="2"/>
    <x v="10"/>
    <n v="138005"/>
  </r>
  <r>
    <x v="8"/>
    <x v="2"/>
    <x v="5"/>
    <n v="3412714"/>
  </r>
  <r>
    <x v="8"/>
    <x v="2"/>
    <x v="11"/>
    <n v="202094"/>
  </r>
  <r>
    <x v="8"/>
    <x v="2"/>
    <x v="12"/>
    <n v="114846"/>
  </r>
  <r>
    <x v="8"/>
    <x v="2"/>
    <x v="6"/>
    <n v="1"/>
  </r>
  <r>
    <x v="8"/>
    <x v="2"/>
    <x v="13"/>
    <n v="1023050"/>
  </r>
  <r>
    <x v="8"/>
    <x v="2"/>
    <x v="8"/>
    <n v="6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6">
  <r>
    <x v="0"/>
    <n v="2501"/>
    <x v="0"/>
    <n v="19902"/>
  </r>
  <r>
    <x v="0"/>
    <n v="2501"/>
    <x v="1"/>
    <n v="668864"/>
  </r>
  <r>
    <x v="0"/>
    <n v="2501"/>
    <x v="2"/>
    <n v="72519"/>
  </r>
  <r>
    <x v="0"/>
    <n v="2501"/>
    <x v="3"/>
    <n v="154750"/>
  </r>
  <r>
    <x v="0"/>
    <n v="2501"/>
    <x v="4"/>
    <n v="1868"/>
  </r>
  <r>
    <x v="0"/>
    <n v="2502"/>
    <x v="0"/>
    <n v="15243"/>
  </r>
  <r>
    <x v="0"/>
    <n v="2502"/>
    <x v="1"/>
    <n v="683220"/>
  </r>
  <r>
    <x v="0"/>
    <n v="2502"/>
    <x v="2"/>
    <n v="63719"/>
  </r>
  <r>
    <x v="0"/>
    <n v="2502"/>
    <x v="3"/>
    <n v="157884"/>
  </r>
  <r>
    <x v="0"/>
    <n v="2502"/>
    <x v="4"/>
    <n v="1551"/>
  </r>
  <r>
    <x v="0"/>
    <n v="2503"/>
    <x v="0"/>
    <n v="12957"/>
  </r>
  <r>
    <x v="0"/>
    <n v="2503"/>
    <x v="1"/>
    <n v="589145"/>
  </r>
  <r>
    <x v="0"/>
    <n v="2503"/>
    <x v="2"/>
    <n v="76284"/>
  </r>
  <r>
    <x v="0"/>
    <n v="2503"/>
    <x v="3"/>
    <n v="194364"/>
  </r>
  <r>
    <x v="0"/>
    <n v="2503"/>
    <x v="4"/>
    <n v="775"/>
  </r>
  <r>
    <x v="0"/>
    <n v="2504"/>
    <x v="0"/>
    <n v="9505"/>
  </r>
  <r>
    <x v="0"/>
    <n v="2504"/>
    <x v="1"/>
    <n v="489837"/>
  </r>
  <r>
    <x v="0"/>
    <n v="2504"/>
    <x v="2"/>
    <n v="69072"/>
  </r>
  <r>
    <x v="0"/>
    <n v="2504"/>
    <x v="3"/>
    <n v="176432"/>
  </r>
  <r>
    <x v="0"/>
    <n v="2504"/>
    <x v="4"/>
    <n v="728"/>
  </r>
  <r>
    <x v="0"/>
    <n v="2505"/>
    <x v="0"/>
    <n v="8043"/>
  </r>
  <r>
    <x v="0"/>
    <n v="2505"/>
    <x v="1"/>
    <n v="538614"/>
  </r>
  <r>
    <x v="0"/>
    <n v="2505"/>
    <x v="2"/>
    <n v="66890"/>
  </r>
  <r>
    <x v="0"/>
    <n v="2505"/>
    <x v="3"/>
    <n v="201102"/>
  </r>
  <r>
    <x v="0"/>
    <n v="2505"/>
    <x v="4"/>
    <n v="706"/>
  </r>
  <r>
    <x v="0"/>
    <n v="2506"/>
    <x v="0"/>
    <n v="7805"/>
  </r>
  <r>
    <x v="0"/>
    <n v="2506"/>
    <x v="1"/>
    <n v="879348"/>
  </r>
  <r>
    <x v="0"/>
    <n v="2506"/>
    <x v="2"/>
    <n v="112720"/>
  </r>
  <r>
    <x v="0"/>
    <n v="2506"/>
    <x v="3"/>
    <n v="575406"/>
  </r>
  <r>
    <x v="0"/>
    <n v="2506"/>
    <x v="4"/>
    <n v="1625"/>
  </r>
  <r>
    <x v="0"/>
    <n v="2507"/>
    <x v="0"/>
    <n v="8493"/>
  </r>
  <r>
    <x v="0"/>
    <n v="2507"/>
    <x v="1"/>
    <n v="1436097"/>
  </r>
  <r>
    <x v="0"/>
    <n v="2507"/>
    <x v="2"/>
    <n v="102910"/>
  </r>
  <r>
    <x v="0"/>
    <n v="2507"/>
    <x v="3"/>
    <n v="309415"/>
  </r>
  <r>
    <x v="0"/>
    <n v="2507"/>
    <x v="4"/>
    <n v="678"/>
  </r>
  <r>
    <x v="0"/>
    <n v="2508"/>
    <x v="0"/>
    <n v="6502"/>
  </r>
  <r>
    <x v="0"/>
    <n v="2508"/>
    <x v="1"/>
    <n v="606100"/>
  </r>
  <r>
    <x v="0"/>
    <n v="2508"/>
    <x v="2"/>
    <n v="73738"/>
  </r>
  <r>
    <x v="0"/>
    <n v="2508"/>
    <x v="3"/>
    <n v="244093"/>
  </r>
  <r>
    <x v="0"/>
    <n v="2508"/>
    <x v="4"/>
    <n v="530"/>
  </r>
  <r>
    <x v="0"/>
    <n v="2509"/>
    <x v="0"/>
    <n v="6773"/>
  </r>
  <r>
    <x v="0"/>
    <n v="2509"/>
    <x v="1"/>
    <n v="638221"/>
  </r>
  <r>
    <x v="0"/>
    <n v="2509"/>
    <x v="2"/>
    <n v="78217"/>
  </r>
  <r>
    <x v="0"/>
    <n v="2509"/>
    <x v="5"/>
    <n v="9"/>
  </r>
  <r>
    <x v="0"/>
    <n v="2509"/>
    <x v="3"/>
    <n v="367015"/>
  </r>
  <r>
    <x v="0"/>
    <n v="2509"/>
    <x v="4"/>
    <n v="467"/>
  </r>
  <r>
    <x v="0"/>
    <n v="2510"/>
    <x v="0"/>
    <n v="6494"/>
  </r>
  <r>
    <x v="0"/>
    <n v="2510"/>
    <x v="1"/>
    <n v="625264"/>
  </r>
  <r>
    <x v="0"/>
    <n v="2510"/>
    <x v="2"/>
    <n v="78425"/>
  </r>
  <r>
    <x v="0"/>
    <n v="2510"/>
    <x v="3"/>
    <n v="304572"/>
  </r>
  <r>
    <x v="0"/>
    <n v="2510"/>
    <x v="4"/>
    <n v="481"/>
  </r>
  <r>
    <x v="0"/>
    <n v="2511"/>
    <x v="0"/>
    <n v="5885"/>
  </r>
  <r>
    <x v="0"/>
    <n v="2511"/>
    <x v="1"/>
    <n v="533376"/>
  </r>
  <r>
    <x v="0"/>
    <n v="2511"/>
    <x v="2"/>
    <n v="71933"/>
  </r>
  <r>
    <x v="0"/>
    <n v="2511"/>
    <x v="3"/>
    <n v="292663"/>
  </r>
  <r>
    <x v="0"/>
    <n v="2511"/>
    <x v="4"/>
    <n v="467"/>
  </r>
  <r>
    <x v="0"/>
    <n v="2512"/>
    <x v="0"/>
    <n v="10373"/>
  </r>
  <r>
    <x v="0"/>
    <n v="2512"/>
    <x v="1"/>
    <n v="574508"/>
  </r>
  <r>
    <x v="0"/>
    <n v="2512"/>
    <x v="2"/>
    <n v="88247"/>
  </r>
  <r>
    <x v="0"/>
    <n v="2512"/>
    <x v="5"/>
    <n v="8106"/>
  </r>
  <r>
    <x v="0"/>
    <n v="2512"/>
    <x v="3"/>
    <n v="329114"/>
  </r>
  <r>
    <x v="0"/>
    <n v="2512"/>
    <x v="4"/>
    <n v="445"/>
  </r>
  <r>
    <x v="1"/>
    <n v="2601"/>
    <x v="0"/>
    <n v="14691"/>
  </r>
  <r>
    <x v="1"/>
    <n v="2601"/>
    <x v="1"/>
    <n v="614174"/>
  </r>
  <r>
    <x v="1"/>
    <n v="2601"/>
    <x v="2"/>
    <n v="105988"/>
  </r>
  <r>
    <x v="1"/>
    <n v="2601"/>
    <x v="5"/>
    <n v="45307"/>
  </r>
  <r>
    <x v="1"/>
    <n v="2601"/>
    <x v="3"/>
    <n v="363025"/>
  </r>
  <r>
    <x v="1"/>
    <n v="2601"/>
    <x v="4"/>
    <n v="660"/>
  </r>
  <r>
    <x v="1"/>
    <n v="2602"/>
    <x v="0"/>
    <n v="16571"/>
  </r>
  <r>
    <x v="1"/>
    <n v="2602"/>
    <x v="1"/>
    <n v="569728"/>
  </r>
  <r>
    <x v="1"/>
    <n v="2602"/>
    <x v="2"/>
    <n v="98726"/>
  </r>
  <r>
    <x v="1"/>
    <n v="2602"/>
    <x v="5"/>
    <n v="49249"/>
  </r>
  <r>
    <x v="1"/>
    <n v="2602"/>
    <x v="3"/>
    <n v="312149"/>
  </r>
  <r>
    <x v="1"/>
    <n v="2602"/>
    <x v="4"/>
    <n v="502"/>
  </r>
  <r>
    <x v="1"/>
    <n v="2603"/>
    <x v="0"/>
    <n v="22196"/>
  </r>
  <r>
    <x v="1"/>
    <n v="2603"/>
    <x v="1"/>
    <n v="760243"/>
  </r>
  <r>
    <x v="1"/>
    <n v="2603"/>
    <x v="2"/>
    <n v="128593"/>
  </r>
  <r>
    <x v="1"/>
    <n v="2603"/>
    <x v="5"/>
    <n v="31043"/>
  </r>
  <r>
    <x v="1"/>
    <n v="2603"/>
    <x v="3"/>
    <n v="314958"/>
  </r>
  <r>
    <x v="1"/>
    <n v="2603"/>
    <x v="4"/>
    <n v="424"/>
  </r>
  <r>
    <x v="1"/>
    <n v="2604"/>
    <x v="0"/>
    <n v="27285"/>
  </r>
  <r>
    <x v="1"/>
    <n v="2604"/>
    <x v="1"/>
    <n v="750177"/>
  </r>
  <r>
    <x v="1"/>
    <n v="2604"/>
    <x v="2"/>
    <n v="127698"/>
  </r>
  <r>
    <x v="1"/>
    <n v="2604"/>
    <x v="5"/>
    <n v="45624"/>
  </r>
  <r>
    <x v="1"/>
    <n v="2604"/>
    <x v="3"/>
    <n v="344296"/>
  </r>
  <r>
    <x v="1"/>
    <n v="2604"/>
    <x v="4"/>
    <n v="393"/>
  </r>
  <r>
    <x v="1"/>
    <n v="2605"/>
    <x v="0"/>
    <n v="55848"/>
  </r>
  <r>
    <x v="1"/>
    <n v="2605"/>
    <x v="1"/>
    <n v="558148"/>
  </r>
  <r>
    <x v="1"/>
    <n v="2605"/>
    <x v="2"/>
    <n v="112743"/>
  </r>
  <r>
    <x v="1"/>
    <n v="2605"/>
    <x v="5"/>
    <n v="31427"/>
  </r>
  <r>
    <x v="1"/>
    <n v="2605"/>
    <x v="3"/>
    <n v="311221"/>
  </r>
  <r>
    <x v="1"/>
    <n v="2605"/>
    <x v="4"/>
    <n v="217"/>
  </r>
  <r>
    <x v="1"/>
    <n v="2606"/>
    <x v="0"/>
    <n v="207429"/>
  </r>
  <r>
    <x v="1"/>
    <n v="2606"/>
    <x v="1"/>
    <n v="691653"/>
  </r>
  <r>
    <x v="1"/>
    <n v="2606"/>
    <x v="2"/>
    <n v="122342"/>
  </r>
  <r>
    <x v="1"/>
    <n v="2606"/>
    <x v="5"/>
    <n v="30210"/>
  </r>
  <r>
    <x v="1"/>
    <n v="2606"/>
    <x v="3"/>
    <n v="282988"/>
  </r>
  <r>
    <x v="1"/>
    <n v="2606"/>
    <x v="4"/>
    <n v="496"/>
  </r>
  <r>
    <x v="1"/>
    <n v="2607"/>
    <x v="0"/>
    <n v="338205"/>
  </r>
  <r>
    <x v="1"/>
    <n v="2607"/>
    <x v="1"/>
    <n v="478025"/>
  </r>
  <r>
    <x v="1"/>
    <n v="2607"/>
    <x v="2"/>
    <n v="115407"/>
  </r>
  <r>
    <x v="1"/>
    <n v="2607"/>
    <x v="5"/>
    <n v="23066"/>
  </r>
  <r>
    <x v="1"/>
    <n v="2607"/>
    <x v="3"/>
    <n v="305734"/>
  </r>
  <r>
    <x v="1"/>
    <n v="2607"/>
    <x v="4"/>
    <n v="628"/>
  </r>
  <r>
    <x v="1"/>
    <n v="2608"/>
    <x v="0"/>
    <n v="327094"/>
  </r>
  <r>
    <x v="1"/>
    <n v="2608"/>
    <x v="1"/>
    <n v="365752"/>
  </r>
  <r>
    <x v="1"/>
    <n v="2608"/>
    <x v="2"/>
    <n v="98991"/>
  </r>
  <r>
    <x v="1"/>
    <n v="2608"/>
    <x v="5"/>
    <n v="29772"/>
  </r>
  <r>
    <x v="1"/>
    <n v="2608"/>
    <x v="3"/>
    <n v="275997"/>
  </r>
  <r>
    <x v="1"/>
    <n v="2608"/>
    <x v="4"/>
    <n v="588"/>
  </r>
  <r>
    <x v="1"/>
    <n v="2609"/>
    <x v="0"/>
    <n v="382709"/>
  </r>
  <r>
    <x v="1"/>
    <n v="2609"/>
    <x v="1"/>
    <n v="322194"/>
  </r>
  <r>
    <x v="1"/>
    <n v="2609"/>
    <x v="2"/>
    <n v="84975"/>
  </r>
  <r>
    <x v="1"/>
    <n v="2609"/>
    <x v="5"/>
    <n v="22106"/>
  </r>
  <r>
    <x v="1"/>
    <n v="2609"/>
    <x v="3"/>
    <n v="250138"/>
  </r>
  <r>
    <x v="1"/>
    <n v="2609"/>
    <x v="4"/>
    <n v="385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7">
  <r>
    <x v="0"/>
    <x v="0"/>
    <s v="GPN"/>
    <s v="BANSOS"/>
    <n v="4231"/>
  </r>
  <r>
    <x v="0"/>
    <x v="0"/>
    <s v="GPN"/>
    <s v="CORPORATE SPENDING CARD"/>
    <n v="41"/>
  </r>
  <r>
    <x v="0"/>
    <x v="0"/>
    <s v="GPN"/>
    <s v="EBIZ"/>
    <n v="685"/>
  </r>
  <r>
    <x v="0"/>
    <x v="0"/>
    <s v="GPN"/>
    <s v="GOLD"/>
    <n v="26140"/>
  </r>
  <r>
    <x v="0"/>
    <x v="0"/>
    <s v="GPN"/>
    <s v="KARTUKU"/>
    <n v="2032"/>
  </r>
  <r>
    <x v="0"/>
    <x v="0"/>
    <s v="GPN"/>
    <s v="KARTUMU"/>
    <n v="61116"/>
  </r>
  <r>
    <x v="0"/>
    <x v="0"/>
    <s v="GPN"/>
    <s v="PLATINUM"/>
    <n v="6440"/>
  </r>
  <r>
    <x v="0"/>
    <x v="0"/>
    <s v="GPN"/>
    <s v="SILVER"/>
    <n v="225461"/>
  </r>
  <r>
    <x v="0"/>
    <x v="0"/>
    <s v="GPN"/>
    <s v="SIMPEL"/>
    <n v="9165"/>
  </r>
  <r>
    <x v="0"/>
    <x v="0"/>
    <s v="GPN"/>
    <s v="VIRTUAL ACCOUNT"/>
    <n v="129"/>
  </r>
  <r>
    <x v="0"/>
    <x v="0"/>
    <s v="PRIVATE LABEL"/>
    <s v="BANSOS"/>
    <n v="1919"/>
  </r>
  <r>
    <x v="0"/>
    <x v="0"/>
    <s v="VISA"/>
    <s v="CORPORATE SPENDING CARD"/>
    <n v="1"/>
  </r>
  <r>
    <x v="0"/>
    <x v="0"/>
    <s v="VISA"/>
    <s v="GOLD"/>
    <n v="182835"/>
  </r>
  <r>
    <x v="0"/>
    <x v="0"/>
    <s v="VISA"/>
    <s v="GOLD BISNIS"/>
    <n v="2649"/>
  </r>
  <r>
    <x v="0"/>
    <x v="0"/>
    <s v="VISA"/>
    <s v="PLATINUM"/>
    <n v="75514"/>
  </r>
  <r>
    <x v="0"/>
    <x v="0"/>
    <s v="VISA"/>
    <s v="PLATINUM BISNIS"/>
    <n v="4451"/>
  </r>
  <r>
    <x v="0"/>
    <x v="0"/>
    <s v="VISA"/>
    <s v="PRIORITAS"/>
    <n v="10072"/>
  </r>
  <r>
    <x v="0"/>
    <x v="0"/>
    <s v="VISA"/>
    <s v="SILVER"/>
    <n v="1"/>
  </r>
  <r>
    <x v="0"/>
    <x v="1"/>
    <s v="GPN"/>
    <s v="CORPORATE SPENDING CARD"/>
    <n v="11"/>
  </r>
  <r>
    <x v="0"/>
    <x v="1"/>
    <s v="GPN"/>
    <s v="EBIZ"/>
    <n v="496"/>
  </r>
  <r>
    <x v="0"/>
    <x v="1"/>
    <s v="GPN"/>
    <s v="GOLD"/>
    <n v="221"/>
  </r>
  <r>
    <x v="0"/>
    <x v="1"/>
    <s v="GPN"/>
    <s v="SIMPEL"/>
    <n v="3056"/>
  </r>
  <r>
    <x v="0"/>
    <x v="1"/>
    <s v="GPN"/>
    <s v="VIRTUAL ACCOUNT"/>
    <n v="331"/>
  </r>
  <r>
    <x v="0"/>
    <x v="1"/>
    <s v="PRIVATE LABEL"/>
    <s v="BANSOS"/>
    <n v="3743"/>
  </r>
  <r>
    <x v="0"/>
    <x v="1"/>
    <s v="VISA"/>
    <s v="CORPORATE SPENDING CARD"/>
    <n v="2"/>
  </r>
  <r>
    <x v="0"/>
    <x v="1"/>
    <s v="VISA"/>
    <s v="GOLD"/>
    <n v="4"/>
  </r>
  <r>
    <x v="0"/>
    <x v="1"/>
    <s v="VISA"/>
    <s v="PLATINUM"/>
    <n v="26067"/>
  </r>
  <r>
    <x v="0"/>
    <x v="1"/>
    <s v="VISA"/>
    <s v="PRIORITAS"/>
    <n v="6127"/>
  </r>
  <r>
    <x v="0"/>
    <x v="1"/>
    <s v="VISA"/>
    <s v="SILVER"/>
    <n v="1"/>
  </r>
  <r>
    <x v="0"/>
    <x v="2"/>
    <s v="GPN"/>
    <s v="BANSOS"/>
    <n v="9"/>
  </r>
  <r>
    <x v="0"/>
    <x v="2"/>
    <s v="GPN"/>
    <s v="EBIZ"/>
    <n v="1135"/>
  </r>
  <r>
    <x v="0"/>
    <x v="2"/>
    <s v="GPN"/>
    <s v="GOLD"/>
    <n v="52"/>
  </r>
  <r>
    <x v="0"/>
    <x v="2"/>
    <s v="GPN"/>
    <s v="SIMPEL"/>
    <n v="1299"/>
  </r>
  <r>
    <x v="0"/>
    <x v="2"/>
    <s v="GPN"/>
    <s v="VIRTUAL ACCOUNT"/>
    <n v="361"/>
  </r>
  <r>
    <x v="0"/>
    <x v="2"/>
    <s v="PRIVATE LABEL"/>
    <s v="BANSOS"/>
    <n v="2865"/>
  </r>
  <r>
    <x v="0"/>
    <x v="2"/>
    <s v="VISA"/>
    <s v="CORPORATE SPENDING CARD"/>
    <n v="3"/>
  </r>
  <r>
    <x v="0"/>
    <x v="2"/>
    <s v="VISA"/>
    <s v="GOLD"/>
    <n v="4"/>
  </r>
  <r>
    <x v="0"/>
    <x v="2"/>
    <s v="VISA"/>
    <s v="PLATINUM"/>
    <n v="34463"/>
  </r>
  <r>
    <x v="0"/>
    <x v="2"/>
    <s v="VISA"/>
    <s v="PRIORITAS"/>
    <n v="4291"/>
  </r>
  <r>
    <x v="0"/>
    <x v="2"/>
    <s v="VISA"/>
    <s v="SILVER"/>
    <n v="1"/>
  </r>
  <r>
    <x v="0"/>
    <x v="3"/>
    <s v="GPN"/>
    <s v="CORPORATE SPENDING CARD"/>
    <n v="3"/>
  </r>
  <r>
    <x v="0"/>
    <x v="3"/>
    <s v="GPN"/>
    <s v="EBIZ"/>
    <n v="484"/>
  </r>
  <r>
    <x v="0"/>
    <x v="3"/>
    <s v="GPN"/>
    <s v="GOLD"/>
    <n v="1"/>
  </r>
  <r>
    <x v="0"/>
    <x v="3"/>
    <s v="GPN"/>
    <s v="SIMPEL"/>
    <n v="686"/>
  </r>
  <r>
    <x v="0"/>
    <x v="3"/>
    <s v="GPN"/>
    <s v="VIRTUAL ACCOUNT"/>
    <n v="724"/>
  </r>
  <r>
    <x v="0"/>
    <x v="3"/>
    <s v="PRIVATE LABEL"/>
    <s v="BANSOS"/>
    <n v="1041893"/>
  </r>
  <r>
    <x v="0"/>
    <x v="3"/>
    <s v="VISA"/>
    <s v="GOLD"/>
    <n v="3"/>
  </r>
  <r>
    <x v="0"/>
    <x v="3"/>
    <s v="VISA"/>
    <s v="PLATINUM"/>
    <n v="22816"/>
  </r>
  <r>
    <x v="0"/>
    <x v="3"/>
    <s v="VISA"/>
    <s v="PRIORITAS"/>
    <n v="2376"/>
  </r>
  <r>
    <x v="0"/>
    <x v="4"/>
    <s v="GPN"/>
    <s v="CORPORATE SPENDING CARD"/>
    <n v="5"/>
  </r>
  <r>
    <x v="0"/>
    <x v="4"/>
    <s v="GPN"/>
    <s v="EBIZ"/>
    <n v="860"/>
  </r>
  <r>
    <x v="0"/>
    <x v="4"/>
    <s v="GPN"/>
    <s v="SILVER"/>
    <n v="1"/>
  </r>
  <r>
    <x v="0"/>
    <x v="4"/>
    <s v="GPN"/>
    <s v="SIMPEL"/>
    <n v="425"/>
  </r>
  <r>
    <x v="0"/>
    <x v="4"/>
    <s v="GPN"/>
    <s v="VIRTUAL ACCOUNT"/>
    <n v="182"/>
  </r>
  <r>
    <x v="0"/>
    <x v="4"/>
    <s v="PRIVATE LABEL"/>
    <s v="BANSOS"/>
    <n v="235875"/>
  </r>
  <r>
    <x v="0"/>
    <x v="4"/>
    <s v="VISA"/>
    <s v="GOLD"/>
    <n v="1"/>
  </r>
  <r>
    <x v="0"/>
    <x v="4"/>
    <s v="VISA"/>
    <s v="PLATINUM"/>
    <n v="20982"/>
  </r>
  <r>
    <x v="0"/>
    <x v="4"/>
    <s v="VISA"/>
    <s v="PRIORITAS"/>
    <n v="3053"/>
  </r>
  <r>
    <x v="0"/>
    <x v="5"/>
    <s v="GPN"/>
    <s v="CORPORATE SPENDING CARD"/>
    <n v="39"/>
  </r>
  <r>
    <x v="0"/>
    <x v="5"/>
    <s v="GPN"/>
    <s v="EBIZ"/>
    <n v="795"/>
  </r>
  <r>
    <x v="0"/>
    <x v="5"/>
    <s v="GPN"/>
    <s v="GOLD"/>
    <n v="100"/>
  </r>
  <r>
    <x v="0"/>
    <x v="5"/>
    <s v="GPN"/>
    <s v="SILVER"/>
    <n v="1"/>
  </r>
  <r>
    <x v="0"/>
    <x v="5"/>
    <s v="GPN"/>
    <s v="SIMPEL"/>
    <n v="2112"/>
  </r>
  <r>
    <x v="0"/>
    <x v="5"/>
    <s v="GPN"/>
    <s v="VIRTUAL ACCOUNT"/>
    <n v="600"/>
  </r>
  <r>
    <x v="0"/>
    <x v="5"/>
    <s v="PRIVATE LABEL"/>
    <s v="BANSOS"/>
    <n v="6715"/>
  </r>
  <r>
    <x v="0"/>
    <x v="5"/>
    <s v="VISA"/>
    <s v="GOLD"/>
    <n v="2"/>
  </r>
  <r>
    <x v="0"/>
    <x v="5"/>
    <s v="VISA"/>
    <s v="PLATINUM"/>
    <n v="26329"/>
  </r>
  <r>
    <x v="0"/>
    <x v="5"/>
    <s v="VISA"/>
    <s v="PRIORITAS"/>
    <n v="2519"/>
  </r>
  <r>
    <x v="0"/>
    <x v="5"/>
    <s v="VISA"/>
    <s v="SILVER"/>
    <n v="3"/>
  </r>
  <r>
    <x v="0"/>
    <x v="6"/>
    <s v="GPN"/>
    <s v="CORPORATE SPENDING CARD"/>
    <n v="57"/>
  </r>
  <r>
    <x v="0"/>
    <x v="6"/>
    <s v="GPN"/>
    <s v="EBIZ"/>
    <n v="548"/>
  </r>
  <r>
    <x v="0"/>
    <x v="6"/>
    <s v="GPN"/>
    <s v="GOLD"/>
    <n v="100"/>
  </r>
  <r>
    <x v="0"/>
    <x v="6"/>
    <s v="GPN"/>
    <s v="SIMPEL"/>
    <n v="2890"/>
  </r>
  <r>
    <x v="0"/>
    <x v="6"/>
    <s v="GPN"/>
    <s v="VIRTUAL ACCOUNT"/>
    <n v="684"/>
  </r>
  <r>
    <x v="0"/>
    <x v="6"/>
    <s v="PRIVATE LABEL"/>
    <s v="BANSOS"/>
    <n v="2895"/>
  </r>
  <r>
    <x v="0"/>
    <x v="6"/>
    <s v="VISA"/>
    <s v="GOLD"/>
    <n v="7"/>
  </r>
  <r>
    <x v="0"/>
    <x v="6"/>
    <s v="VISA"/>
    <s v="PLATINUM"/>
    <n v="25232"/>
  </r>
  <r>
    <x v="0"/>
    <x v="6"/>
    <s v="VISA"/>
    <s v="PRIORITAS"/>
    <n v="4066"/>
  </r>
  <r>
    <x v="0"/>
    <x v="6"/>
    <s v="VISA"/>
    <s v="SILVER"/>
    <n v="1"/>
  </r>
  <r>
    <x v="0"/>
    <x v="7"/>
    <s v="GPN"/>
    <s v="CORPORATE SPENDING CARD"/>
    <n v="1"/>
  </r>
  <r>
    <x v="0"/>
    <x v="7"/>
    <s v="GPN"/>
    <s v="EBIZ"/>
    <n v="729"/>
  </r>
  <r>
    <x v="0"/>
    <x v="7"/>
    <s v="GPN"/>
    <s v="GOLD"/>
    <n v="102"/>
  </r>
  <r>
    <x v="0"/>
    <x v="7"/>
    <s v="GPN"/>
    <s v="PLATINUM"/>
    <n v="1"/>
  </r>
  <r>
    <x v="0"/>
    <x v="7"/>
    <s v="GPN"/>
    <s v="SILVER"/>
    <n v="2"/>
  </r>
  <r>
    <x v="0"/>
    <x v="7"/>
    <s v="GPN"/>
    <s v="SIMPEL"/>
    <n v="1209"/>
  </r>
  <r>
    <x v="0"/>
    <x v="7"/>
    <s v="GPN"/>
    <s v="VIRTUAL ACCOUNT"/>
    <n v="733"/>
  </r>
  <r>
    <x v="0"/>
    <x v="7"/>
    <s v="PRIVATE LABEL"/>
    <s v="BANSOS"/>
    <n v="2843"/>
  </r>
  <r>
    <x v="0"/>
    <x v="7"/>
    <s v="VISA"/>
    <s v="CORPORATE SPENDING CARD"/>
    <n v="3"/>
  </r>
  <r>
    <x v="0"/>
    <x v="7"/>
    <s v="VISA"/>
    <s v="GOLD"/>
    <n v="4"/>
  </r>
  <r>
    <x v="0"/>
    <x v="7"/>
    <s v="VISA"/>
    <s v="PLATINUM"/>
    <n v="29679"/>
  </r>
  <r>
    <x v="0"/>
    <x v="7"/>
    <s v="VISA"/>
    <s v="PRIORITAS"/>
    <n v="2714"/>
  </r>
  <r>
    <x v="0"/>
    <x v="7"/>
    <s v="VISA"/>
    <s v="SILVER"/>
    <n v="3"/>
  </r>
  <r>
    <x v="0"/>
    <x v="8"/>
    <s v="GPN"/>
    <s v="CORPORATE SPENDING CARD"/>
    <n v="14"/>
  </r>
  <r>
    <x v="0"/>
    <x v="8"/>
    <s v="GPN"/>
    <s v="EBIZ"/>
    <n v="1023"/>
  </r>
  <r>
    <x v="0"/>
    <x v="8"/>
    <s v="GPN"/>
    <s v="GOLD"/>
    <n v="106"/>
  </r>
  <r>
    <x v="0"/>
    <x v="8"/>
    <s v="GPN"/>
    <s v="PLATINUM"/>
    <n v="1"/>
  </r>
  <r>
    <x v="0"/>
    <x v="8"/>
    <s v="GPN"/>
    <s v="SILVER"/>
    <n v="2"/>
  </r>
  <r>
    <x v="0"/>
    <x v="8"/>
    <s v="GPN"/>
    <s v="SIMPEL"/>
    <n v="1890"/>
  </r>
  <r>
    <x v="0"/>
    <x v="8"/>
    <s v="GPN"/>
    <s v="VIRTUAL ACCOUNT"/>
    <n v="79"/>
  </r>
  <r>
    <x v="0"/>
    <x v="8"/>
    <s v="PRIVATE LABEL"/>
    <s v="BANSOS"/>
    <n v="5672"/>
  </r>
  <r>
    <x v="0"/>
    <x v="8"/>
    <s v="VISA"/>
    <s v="GOLD"/>
    <n v="47"/>
  </r>
  <r>
    <x v="0"/>
    <x v="8"/>
    <s v="VISA"/>
    <s v="PLATINUM"/>
    <n v="26720"/>
  </r>
  <r>
    <x v="0"/>
    <x v="8"/>
    <s v="VISA"/>
    <s v="PRIORITAS"/>
    <n v="2291"/>
  </r>
  <r>
    <x v="0"/>
    <x v="8"/>
    <s v="VISA"/>
    <s v="SILVER"/>
    <n v="1"/>
  </r>
  <r>
    <x v="0"/>
    <x v="9"/>
    <s v="GPN"/>
    <s v="CORPORATE SPENDING CARD"/>
    <n v="500"/>
  </r>
  <r>
    <x v="0"/>
    <x v="9"/>
    <s v="GPN"/>
    <s v="EBIZ"/>
    <n v="1431"/>
  </r>
  <r>
    <x v="0"/>
    <x v="9"/>
    <s v="GPN"/>
    <s v="GOLD"/>
    <n v="1"/>
  </r>
  <r>
    <x v="0"/>
    <x v="9"/>
    <s v="GPN"/>
    <s v="SILVER"/>
    <n v="2"/>
  </r>
  <r>
    <x v="0"/>
    <x v="9"/>
    <s v="GPN"/>
    <s v="SIMPEL"/>
    <n v="4457"/>
  </r>
  <r>
    <x v="0"/>
    <x v="9"/>
    <s v="GPN"/>
    <s v="VIRTUAL ACCOUNT"/>
    <n v="318"/>
  </r>
  <r>
    <x v="0"/>
    <x v="9"/>
    <s v="PRIVATE LABEL"/>
    <s v="BANSOS"/>
    <n v="2757"/>
  </r>
  <r>
    <x v="0"/>
    <x v="9"/>
    <s v="VISA"/>
    <s v="GOLD"/>
    <n v="29"/>
  </r>
  <r>
    <x v="0"/>
    <x v="9"/>
    <s v="VISA"/>
    <s v="PLATINUM"/>
    <n v="28780"/>
  </r>
  <r>
    <x v="0"/>
    <x v="9"/>
    <s v="VISA"/>
    <s v="PRIORITAS"/>
    <n v="2805"/>
  </r>
  <r>
    <x v="0"/>
    <x v="9"/>
    <s v="VISA"/>
    <s v="SILVER"/>
    <n v="4"/>
  </r>
  <r>
    <x v="0"/>
    <x v="10"/>
    <s v="GPN"/>
    <s v="CORPORATE SPENDING CARD"/>
    <n v="1169"/>
  </r>
  <r>
    <x v="0"/>
    <x v="10"/>
    <s v="GPN"/>
    <s v="EBIZ"/>
    <n v="1155"/>
  </r>
  <r>
    <x v="0"/>
    <x v="10"/>
    <s v="GPN"/>
    <s v="SIMPEL"/>
    <n v="1702"/>
  </r>
  <r>
    <x v="0"/>
    <x v="10"/>
    <s v="GPN"/>
    <s v="VIRTUAL ACCOUNT"/>
    <n v="114"/>
  </r>
  <r>
    <x v="0"/>
    <x v="10"/>
    <s v="PRIVATE LABEL"/>
    <s v="BANSOS"/>
    <n v="2346"/>
  </r>
  <r>
    <x v="0"/>
    <x v="10"/>
    <s v="VISA"/>
    <s v="CORPORATE SPENDING CARD"/>
    <n v="1"/>
  </r>
  <r>
    <x v="0"/>
    <x v="10"/>
    <s v="VISA"/>
    <s v="GOLD"/>
    <n v="19"/>
  </r>
  <r>
    <x v="0"/>
    <x v="10"/>
    <s v="VISA"/>
    <s v="GOLD BISNIS"/>
    <n v="2"/>
  </r>
  <r>
    <x v="0"/>
    <x v="10"/>
    <s v="VISA"/>
    <s v="PLATINUM"/>
    <n v="33066"/>
  </r>
  <r>
    <x v="0"/>
    <x v="10"/>
    <s v="VISA"/>
    <s v="PLATINUM BISNIS"/>
    <n v="2"/>
  </r>
  <r>
    <x v="0"/>
    <x v="10"/>
    <s v="VISA"/>
    <s v="PRIORITAS"/>
    <n v="2958"/>
  </r>
  <r>
    <x v="0"/>
    <x v="10"/>
    <s v="VISA"/>
    <s v="SILVER"/>
    <n v="2"/>
  </r>
  <r>
    <x v="0"/>
    <x v="11"/>
    <s v="GPN"/>
    <s v="CORPORATE SPENDING CARD"/>
    <n v="37"/>
  </r>
  <r>
    <x v="0"/>
    <x v="11"/>
    <s v="GPN"/>
    <s v="EBIZ"/>
    <n v="16767"/>
  </r>
  <r>
    <x v="0"/>
    <x v="11"/>
    <s v="GPN"/>
    <s v="GOLD"/>
    <n v="1"/>
  </r>
  <r>
    <x v="0"/>
    <x v="11"/>
    <s v="GPN"/>
    <s v="SILVER"/>
    <n v="4"/>
  </r>
  <r>
    <x v="0"/>
    <x v="11"/>
    <s v="GPN"/>
    <s v="SIMPEL"/>
    <n v="1188"/>
  </r>
  <r>
    <x v="0"/>
    <x v="11"/>
    <s v="GPN"/>
    <s v="VIRTUAL ACCOUNT"/>
    <n v="216"/>
  </r>
  <r>
    <x v="0"/>
    <x v="11"/>
    <s v="PRIVATE LABEL"/>
    <s v="BANSOS"/>
    <n v="406483"/>
  </r>
  <r>
    <x v="0"/>
    <x v="11"/>
    <s v="VISA"/>
    <s v="PLATINUM"/>
    <n v="28908"/>
  </r>
  <r>
    <x v="0"/>
    <x v="11"/>
    <s v="VISA"/>
    <s v="PRIORITAS"/>
    <n v="3741"/>
  </r>
  <r>
    <x v="1"/>
    <x v="12"/>
    <s v="GPN"/>
    <s v="BANSOS"/>
    <n v="793"/>
  </r>
  <r>
    <x v="1"/>
    <x v="12"/>
    <s v="GPN"/>
    <s v="CORPORATE SPENDING CARD"/>
    <n v="1"/>
  </r>
  <r>
    <x v="1"/>
    <x v="12"/>
    <s v="GPN"/>
    <s v="EBIZ"/>
    <n v="1322"/>
  </r>
  <r>
    <x v="1"/>
    <x v="12"/>
    <s v="GPN"/>
    <s v="GOLD"/>
    <n v="9786"/>
  </r>
  <r>
    <x v="1"/>
    <x v="12"/>
    <s v="GPN"/>
    <s v="KARTUKU"/>
    <n v="1765"/>
  </r>
  <r>
    <x v="1"/>
    <x v="12"/>
    <s v="GPN"/>
    <s v="KARTUMU"/>
    <n v="17264"/>
  </r>
  <r>
    <x v="1"/>
    <x v="12"/>
    <s v="GPN"/>
    <s v="PLATINUM"/>
    <n v="3338"/>
  </r>
  <r>
    <x v="1"/>
    <x v="12"/>
    <s v="GPN"/>
    <s v="SILVER"/>
    <n v="89000"/>
  </r>
  <r>
    <x v="1"/>
    <x v="12"/>
    <s v="GPN"/>
    <s v="SIMPEL"/>
    <n v="10456"/>
  </r>
  <r>
    <x v="1"/>
    <x v="12"/>
    <s v="GPN"/>
    <s v="VIRTUAL ACCOUNT"/>
    <n v="699"/>
  </r>
  <r>
    <x v="1"/>
    <x v="12"/>
    <s v="PRIVATE LABEL"/>
    <s v="BANSOS"/>
    <n v="254583"/>
  </r>
  <r>
    <x v="1"/>
    <x v="12"/>
    <s v="VISA"/>
    <s v="GOLD"/>
    <n v="74982"/>
  </r>
  <r>
    <x v="1"/>
    <x v="12"/>
    <s v="VISA"/>
    <s v="GOLD BISNIS"/>
    <n v="1258"/>
  </r>
  <r>
    <x v="1"/>
    <x v="12"/>
    <s v="VISA"/>
    <s v="PLATINUM"/>
    <n v="59435"/>
  </r>
  <r>
    <x v="1"/>
    <x v="12"/>
    <s v="VISA"/>
    <s v="PLATINUM BISNIS"/>
    <n v="2359"/>
  </r>
  <r>
    <x v="1"/>
    <x v="12"/>
    <s v="VISA"/>
    <s v="PRIORITAS"/>
    <n v="4340"/>
  </r>
  <r>
    <x v="1"/>
    <x v="12"/>
    <s v="VISA"/>
    <s v="SILVER"/>
    <n v="1"/>
  </r>
  <r>
    <x v="1"/>
    <x v="13"/>
    <s v="GPN"/>
    <s v="BANSOS"/>
    <n v="2062"/>
  </r>
  <r>
    <x v="1"/>
    <x v="13"/>
    <s v="GPN"/>
    <s v="CORPORATE SPENDING CARD"/>
    <n v="27"/>
  </r>
  <r>
    <x v="1"/>
    <x v="13"/>
    <s v="GPN"/>
    <s v="EBIZ"/>
    <n v="1107"/>
  </r>
  <r>
    <x v="1"/>
    <x v="13"/>
    <s v="GPN"/>
    <s v="GOLD"/>
    <n v="67126"/>
  </r>
  <r>
    <x v="1"/>
    <x v="13"/>
    <s v="GPN"/>
    <s v="KARTUKU"/>
    <n v="7157"/>
  </r>
  <r>
    <x v="1"/>
    <x v="13"/>
    <s v="GPN"/>
    <s v="KARTUMU"/>
    <n v="103411"/>
  </r>
  <r>
    <x v="1"/>
    <x v="13"/>
    <s v="GPN"/>
    <s v="PLATINUM"/>
    <n v="12040"/>
  </r>
  <r>
    <x v="1"/>
    <x v="13"/>
    <s v="GPN"/>
    <s v="SILVER"/>
    <n v="496117"/>
  </r>
  <r>
    <x v="1"/>
    <x v="13"/>
    <s v="GPN"/>
    <s v="SIMPEL"/>
    <n v="19244"/>
  </r>
  <r>
    <x v="1"/>
    <x v="13"/>
    <s v="GPN"/>
    <s v="VIRTUAL ACCOUNT"/>
    <n v="282"/>
  </r>
  <r>
    <x v="1"/>
    <x v="13"/>
    <s v="PRIVATE LABEL"/>
    <s v="BANSOS"/>
    <n v="86280"/>
  </r>
  <r>
    <x v="1"/>
    <x v="13"/>
    <s v="VISA"/>
    <s v="GOLD"/>
    <n v="419388"/>
  </r>
  <r>
    <x v="1"/>
    <x v="13"/>
    <s v="VISA"/>
    <s v="GOLD BISNIS"/>
    <n v="7522"/>
  </r>
  <r>
    <x v="1"/>
    <x v="13"/>
    <s v="VISA"/>
    <s v="PLATINUM"/>
    <n v="140891"/>
  </r>
  <r>
    <x v="1"/>
    <x v="13"/>
    <s v="VISA"/>
    <s v="PLATINUM BISNIS"/>
    <n v="9936"/>
  </r>
  <r>
    <x v="1"/>
    <x v="13"/>
    <s v="VISA"/>
    <s v="PRIORITAS"/>
    <n v="6788"/>
  </r>
  <r>
    <x v="1"/>
    <x v="13"/>
    <s v="VISA"/>
    <s v="SILVER"/>
    <n v="1"/>
  </r>
  <r>
    <x v="1"/>
    <x v="14"/>
    <s v="GPN"/>
    <s v="BANSOS"/>
    <n v="2746"/>
  </r>
  <r>
    <x v="1"/>
    <x v="14"/>
    <s v="GPN"/>
    <s v="CORPORATE SPENDING CARD"/>
    <n v="30"/>
  </r>
  <r>
    <x v="1"/>
    <x v="14"/>
    <s v="GPN"/>
    <s v="EBIZ"/>
    <n v="539"/>
  </r>
  <r>
    <x v="1"/>
    <x v="14"/>
    <s v="GPN"/>
    <s v="GOLD"/>
    <n v="90816"/>
  </r>
  <r>
    <x v="1"/>
    <x v="14"/>
    <s v="GPN"/>
    <s v="KARTUKU"/>
    <n v="10414"/>
  </r>
  <r>
    <x v="1"/>
    <x v="14"/>
    <s v="GPN"/>
    <s v="KARTUMU"/>
    <n v="127812"/>
  </r>
  <r>
    <x v="1"/>
    <x v="14"/>
    <s v="GPN"/>
    <s v="PLATINUM"/>
    <n v="16840"/>
  </r>
  <r>
    <x v="1"/>
    <x v="14"/>
    <s v="GPN"/>
    <s v="SILVER"/>
    <n v="575143"/>
  </r>
  <r>
    <x v="1"/>
    <x v="14"/>
    <s v="GPN"/>
    <s v="SIMPEL"/>
    <n v="19423"/>
  </r>
  <r>
    <x v="1"/>
    <x v="14"/>
    <s v="GPN"/>
    <s v="VIRTUAL ACCOUNT"/>
    <n v="198"/>
  </r>
  <r>
    <x v="1"/>
    <x v="14"/>
    <s v="PRIVATE LABEL"/>
    <s v="BANSOS"/>
    <n v="6088"/>
  </r>
  <r>
    <x v="1"/>
    <x v="14"/>
    <s v="VISA"/>
    <s v="GOLD"/>
    <n v="487975"/>
  </r>
  <r>
    <x v="1"/>
    <x v="14"/>
    <s v="VISA"/>
    <s v="GOLD BISNIS"/>
    <n v="10691"/>
  </r>
  <r>
    <x v="1"/>
    <x v="14"/>
    <s v="VISA"/>
    <s v="PLATINUM"/>
    <n v="175967"/>
  </r>
  <r>
    <x v="1"/>
    <x v="14"/>
    <s v="VISA"/>
    <s v="PLATINUM BISNIS"/>
    <n v="11992"/>
  </r>
  <r>
    <x v="1"/>
    <x v="14"/>
    <s v="VISA"/>
    <s v="PRIORITAS"/>
    <n v="7611"/>
  </r>
  <r>
    <x v="1"/>
    <x v="14"/>
    <s v="VISA"/>
    <s v="SILVER"/>
    <n v="5"/>
  </r>
  <r>
    <x v="1"/>
    <x v="15"/>
    <s v="GPN"/>
    <s v="BANSOS"/>
    <n v="3438"/>
  </r>
  <r>
    <x v="1"/>
    <x v="15"/>
    <s v="GPN"/>
    <s v="CORPORATE SPENDING CARD"/>
    <n v="28"/>
  </r>
  <r>
    <x v="1"/>
    <x v="15"/>
    <s v="GPN"/>
    <s v="EBIZ"/>
    <n v="648"/>
  </r>
  <r>
    <x v="1"/>
    <x v="15"/>
    <s v="GPN"/>
    <s v="GOLD"/>
    <n v="58648"/>
  </r>
  <r>
    <x v="1"/>
    <x v="15"/>
    <s v="GPN"/>
    <s v="KARTUKU"/>
    <n v="7035"/>
  </r>
  <r>
    <x v="1"/>
    <x v="15"/>
    <s v="GPN"/>
    <s v="KARTUMU"/>
    <n v="90675"/>
  </r>
  <r>
    <x v="1"/>
    <x v="15"/>
    <s v="GPN"/>
    <s v="PLATINUM"/>
    <n v="10999"/>
  </r>
  <r>
    <x v="1"/>
    <x v="15"/>
    <s v="GPN"/>
    <s v="SILVER"/>
    <n v="342839"/>
  </r>
  <r>
    <x v="1"/>
    <x v="15"/>
    <s v="GPN"/>
    <s v="SIMPEL"/>
    <n v="12284"/>
  </r>
  <r>
    <x v="1"/>
    <x v="15"/>
    <s v="GPN"/>
    <s v="VIRTUAL ACCOUNT"/>
    <n v="186"/>
  </r>
  <r>
    <x v="1"/>
    <x v="15"/>
    <s v="PRIVATE LABEL"/>
    <s v="BANSOS"/>
    <n v="129608"/>
  </r>
  <r>
    <x v="1"/>
    <x v="15"/>
    <s v="VISA"/>
    <s v="GOLD"/>
    <n v="349317"/>
  </r>
  <r>
    <x v="1"/>
    <x v="15"/>
    <s v="VISA"/>
    <s v="GOLD BISNIS"/>
    <n v="4493"/>
  </r>
  <r>
    <x v="1"/>
    <x v="15"/>
    <s v="VISA"/>
    <s v="PLATINUM"/>
    <n v="129344"/>
  </r>
  <r>
    <x v="1"/>
    <x v="15"/>
    <s v="VISA"/>
    <s v="PLATINUM BISNIS"/>
    <n v="8495"/>
  </r>
  <r>
    <x v="1"/>
    <x v="15"/>
    <s v="VISA"/>
    <s v="PRIORITAS"/>
    <n v="7246"/>
  </r>
  <r>
    <x v="1"/>
    <x v="15"/>
    <s v="VISA"/>
    <s v="SILVER"/>
    <n v="5"/>
  </r>
  <r>
    <x v="1"/>
    <x v="16"/>
    <s v="GPN"/>
    <s v="BANSOS"/>
    <n v="1270"/>
  </r>
  <r>
    <x v="1"/>
    <x v="16"/>
    <s v="GPN"/>
    <s v="CORPORATE SPENDING CARD"/>
    <n v="3"/>
  </r>
  <r>
    <x v="1"/>
    <x v="16"/>
    <s v="GPN"/>
    <s v="EBIZ"/>
    <n v="721"/>
  </r>
  <r>
    <x v="1"/>
    <x v="16"/>
    <s v="GPN"/>
    <s v="GOLD"/>
    <n v="82334"/>
  </r>
  <r>
    <x v="1"/>
    <x v="16"/>
    <s v="GPN"/>
    <s v="KARTUKU"/>
    <n v="7906"/>
  </r>
  <r>
    <x v="1"/>
    <x v="16"/>
    <s v="GPN"/>
    <s v="KARTUMU"/>
    <n v="102651"/>
  </r>
  <r>
    <x v="1"/>
    <x v="16"/>
    <s v="GPN"/>
    <s v="PLATINUM"/>
    <n v="16892"/>
  </r>
  <r>
    <x v="1"/>
    <x v="16"/>
    <s v="GPN"/>
    <s v="SILVER"/>
    <n v="498829"/>
  </r>
  <r>
    <x v="1"/>
    <x v="16"/>
    <s v="GPN"/>
    <s v="SIMPEL"/>
    <n v="27404"/>
  </r>
  <r>
    <x v="1"/>
    <x v="16"/>
    <s v="GPN"/>
    <s v="VIRTUAL ACCOUNT"/>
    <n v="229"/>
  </r>
  <r>
    <x v="1"/>
    <x v="16"/>
    <s v="PRIVATE LABEL"/>
    <s v="BANSOS"/>
    <n v="329341"/>
  </r>
  <r>
    <x v="1"/>
    <x v="16"/>
    <s v="VISA"/>
    <s v="GOLD"/>
    <n v="469509"/>
  </r>
  <r>
    <x v="1"/>
    <x v="16"/>
    <s v="VISA"/>
    <s v="GOLD BISNIS"/>
    <n v="7486"/>
  </r>
  <r>
    <x v="1"/>
    <x v="16"/>
    <s v="VISA"/>
    <s v="PLATINUM"/>
    <n v="157683"/>
  </r>
  <r>
    <x v="1"/>
    <x v="16"/>
    <s v="VISA"/>
    <s v="PLATINUM BISNIS"/>
    <n v="11574"/>
  </r>
  <r>
    <x v="1"/>
    <x v="16"/>
    <s v="VISA"/>
    <s v="PRIORITAS"/>
    <n v="7400"/>
  </r>
  <r>
    <x v="1"/>
    <x v="16"/>
    <s v="VISA"/>
    <s v="SILVER"/>
    <n v="5"/>
  </r>
  <r>
    <x v="1"/>
    <x v="17"/>
    <s v="GPN"/>
    <s v="BANSOS"/>
    <n v="742"/>
  </r>
  <r>
    <x v="1"/>
    <x v="17"/>
    <s v="GPN"/>
    <s v="CORPORATE SPENDING CARD"/>
    <n v="16"/>
  </r>
  <r>
    <x v="1"/>
    <x v="17"/>
    <s v="GPN"/>
    <s v="EBIZ"/>
    <n v="1633"/>
  </r>
  <r>
    <x v="1"/>
    <x v="17"/>
    <s v="GPN"/>
    <s v="GOLD"/>
    <n v="83654"/>
  </r>
  <r>
    <x v="1"/>
    <x v="17"/>
    <s v="GPN"/>
    <s v="KARTUKU"/>
    <n v="5252"/>
  </r>
  <r>
    <x v="1"/>
    <x v="17"/>
    <s v="GPN"/>
    <s v="KARTUMU"/>
    <n v="109519"/>
  </r>
  <r>
    <x v="1"/>
    <x v="17"/>
    <s v="GPN"/>
    <s v="PLATINUM"/>
    <n v="17876"/>
  </r>
  <r>
    <x v="1"/>
    <x v="17"/>
    <s v="GPN"/>
    <s v="SILVER"/>
    <n v="448159"/>
  </r>
  <r>
    <x v="1"/>
    <x v="17"/>
    <s v="GPN"/>
    <s v="SIMPEL"/>
    <n v="25889"/>
  </r>
  <r>
    <x v="1"/>
    <x v="17"/>
    <s v="GPN"/>
    <s v="VIRTUAL ACCOUNT"/>
    <n v="725"/>
  </r>
  <r>
    <x v="1"/>
    <x v="17"/>
    <s v="PRIVATE LABEL"/>
    <s v="BANSOS"/>
    <n v="155035"/>
  </r>
  <r>
    <x v="1"/>
    <x v="17"/>
    <s v="VISA"/>
    <s v="GOLD"/>
    <n v="434065"/>
  </r>
  <r>
    <x v="1"/>
    <x v="17"/>
    <s v="VISA"/>
    <s v="GOLD BISNIS"/>
    <n v="8543"/>
  </r>
  <r>
    <x v="1"/>
    <x v="17"/>
    <s v="VISA"/>
    <s v="PLATINUM"/>
    <n v="76092"/>
  </r>
  <r>
    <x v="1"/>
    <x v="17"/>
    <s v="VISA"/>
    <s v="PLATINUM BISNIS"/>
    <n v="14520"/>
  </r>
  <r>
    <x v="1"/>
    <x v="17"/>
    <s v="VISA"/>
    <s v="PRIORITAS"/>
    <n v="9098"/>
  </r>
  <r>
    <x v="1"/>
    <x v="17"/>
    <s v="VISA"/>
    <s v="SILVER"/>
    <n v="2"/>
  </r>
  <r>
    <x v="1"/>
    <x v="18"/>
    <s v="GPN"/>
    <s v="BANSOS"/>
    <n v="1535"/>
  </r>
  <r>
    <x v="1"/>
    <x v="18"/>
    <s v="GPN"/>
    <s v="CORPORATE SPENDING CARD"/>
    <n v="6"/>
  </r>
  <r>
    <x v="1"/>
    <x v="18"/>
    <s v="GPN"/>
    <s v="EBIZ"/>
    <n v="310"/>
  </r>
  <r>
    <x v="1"/>
    <x v="18"/>
    <s v="GPN"/>
    <s v="GOLD"/>
    <n v="92558"/>
  </r>
  <r>
    <x v="1"/>
    <x v="18"/>
    <s v="GPN"/>
    <s v="KARTUKU"/>
    <n v="6959"/>
  </r>
  <r>
    <x v="1"/>
    <x v="18"/>
    <s v="GPN"/>
    <s v="KARTUMU"/>
    <n v="100297"/>
  </r>
  <r>
    <x v="1"/>
    <x v="18"/>
    <s v="GPN"/>
    <s v="PLATINUM"/>
    <n v="24023"/>
  </r>
  <r>
    <x v="1"/>
    <x v="18"/>
    <s v="GPN"/>
    <s v="SILVER"/>
    <n v="455271"/>
  </r>
  <r>
    <x v="1"/>
    <x v="18"/>
    <s v="GPN"/>
    <s v="SIMPEL"/>
    <n v="35414"/>
  </r>
  <r>
    <x v="1"/>
    <x v="18"/>
    <s v="GPN"/>
    <s v="VIRTUAL ACCOUNT"/>
    <n v="856"/>
  </r>
  <r>
    <x v="1"/>
    <x v="18"/>
    <s v="PRIVATE LABEL"/>
    <s v="BANSOS"/>
    <n v="10061"/>
  </r>
  <r>
    <x v="1"/>
    <x v="18"/>
    <s v="VISA"/>
    <s v="GOLD"/>
    <n v="313242"/>
  </r>
  <r>
    <x v="1"/>
    <x v="18"/>
    <s v="VISA"/>
    <s v="GOLD BISNIS"/>
    <n v="7976"/>
  </r>
  <r>
    <x v="1"/>
    <x v="18"/>
    <s v="VISA"/>
    <s v="PLATINUM"/>
    <n v="87185"/>
  </r>
  <r>
    <x v="1"/>
    <x v="18"/>
    <s v="VISA"/>
    <s v="PLATINUM BISNIS"/>
    <n v="11194"/>
  </r>
  <r>
    <x v="1"/>
    <x v="18"/>
    <s v="VISA"/>
    <s v="PRIORITAS"/>
    <n v="9100"/>
  </r>
  <r>
    <x v="1"/>
    <x v="18"/>
    <s v="VISA"/>
    <s v="SILVER"/>
    <n v="1"/>
  </r>
  <r>
    <x v="1"/>
    <x v="19"/>
    <s v="GPN"/>
    <s v="BANSOS"/>
    <n v="5076"/>
  </r>
  <r>
    <x v="1"/>
    <x v="19"/>
    <s v="GPN"/>
    <s v="EBIZ"/>
    <n v="1278"/>
  </r>
  <r>
    <x v="1"/>
    <x v="19"/>
    <s v="GPN"/>
    <s v="GOLD"/>
    <n v="80286"/>
  </r>
  <r>
    <x v="1"/>
    <x v="19"/>
    <s v="GPN"/>
    <s v="KARTUKU"/>
    <n v="7960"/>
  </r>
  <r>
    <x v="1"/>
    <x v="19"/>
    <s v="GPN"/>
    <s v="KARTUMU"/>
    <n v="99640"/>
  </r>
  <r>
    <x v="1"/>
    <x v="19"/>
    <s v="GPN"/>
    <s v="PLATINUM"/>
    <n v="23549"/>
  </r>
  <r>
    <x v="1"/>
    <x v="19"/>
    <s v="GPN"/>
    <s v="SILVER"/>
    <n v="487622"/>
  </r>
  <r>
    <x v="1"/>
    <x v="19"/>
    <s v="GPN"/>
    <s v="SIMPEL"/>
    <n v="39957"/>
  </r>
  <r>
    <x v="1"/>
    <x v="19"/>
    <s v="GPN"/>
    <s v="VIRTUAL ACCOUNT"/>
    <n v="229"/>
  </r>
  <r>
    <x v="1"/>
    <x v="19"/>
    <s v="PRIVATE LABEL"/>
    <s v="BANSOS"/>
    <n v="876972"/>
  </r>
  <r>
    <x v="1"/>
    <x v="19"/>
    <s v="VISA"/>
    <s v="CORPORATE SPENDING CARD"/>
    <n v="2"/>
  </r>
  <r>
    <x v="1"/>
    <x v="19"/>
    <s v="VISA"/>
    <s v="GOLD"/>
    <n v="232248"/>
  </r>
  <r>
    <x v="1"/>
    <x v="19"/>
    <s v="VISA"/>
    <s v="GOLD BISNIS"/>
    <n v="8781"/>
  </r>
  <r>
    <x v="1"/>
    <x v="19"/>
    <s v="VISA"/>
    <s v="PLATINUM"/>
    <n v="87421"/>
  </r>
  <r>
    <x v="1"/>
    <x v="19"/>
    <s v="VISA"/>
    <s v="PLATINUM BISNIS"/>
    <n v="13735"/>
  </r>
  <r>
    <x v="1"/>
    <x v="19"/>
    <s v="VISA"/>
    <s v="PRIORITAS"/>
    <n v="10110"/>
  </r>
  <r>
    <x v="1"/>
    <x v="20"/>
    <s v="GPN"/>
    <s v="BANSOS"/>
    <n v="20041"/>
  </r>
  <r>
    <x v="1"/>
    <x v="20"/>
    <s v="GPN"/>
    <s v="EBIZ"/>
    <n v="3965"/>
  </r>
  <r>
    <x v="1"/>
    <x v="20"/>
    <s v="GPN"/>
    <s v="GOLD"/>
    <n v="103775"/>
  </r>
  <r>
    <x v="1"/>
    <x v="20"/>
    <s v="GPN"/>
    <s v="KARTUKU"/>
    <n v="14716"/>
  </r>
  <r>
    <x v="1"/>
    <x v="20"/>
    <s v="GPN"/>
    <s v="KARTUMU"/>
    <n v="162084"/>
  </r>
  <r>
    <x v="1"/>
    <x v="20"/>
    <s v="GPN"/>
    <s v="PLATINUM"/>
    <n v="22493"/>
  </r>
  <r>
    <x v="1"/>
    <x v="20"/>
    <s v="GPN"/>
    <s v="SILVER"/>
    <n v="624451"/>
  </r>
  <r>
    <x v="1"/>
    <x v="20"/>
    <s v="GPN"/>
    <s v="SIMPEL"/>
    <n v="28974"/>
  </r>
  <r>
    <x v="1"/>
    <x v="20"/>
    <s v="GPN"/>
    <s v="VIRTUAL ACCOUNT"/>
    <n v="287"/>
  </r>
  <r>
    <x v="1"/>
    <x v="20"/>
    <s v="PRIVATE LABEL"/>
    <s v="BANSOS"/>
    <n v="324671"/>
  </r>
  <r>
    <x v="1"/>
    <x v="20"/>
    <s v="VISA"/>
    <s v="GOLD"/>
    <n v="365292"/>
  </r>
  <r>
    <x v="1"/>
    <x v="20"/>
    <s v="VISA"/>
    <s v="GOLD BISNIS"/>
    <n v="8874"/>
  </r>
  <r>
    <x v="1"/>
    <x v="20"/>
    <s v="VISA"/>
    <s v="PLATINUM"/>
    <n v="92047"/>
  </r>
  <r>
    <x v="1"/>
    <x v="20"/>
    <s v="VISA"/>
    <s v="PLATINUM BISNIS"/>
    <n v="11806"/>
  </r>
  <r>
    <x v="1"/>
    <x v="20"/>
    <s v="VISA"/>
    <s v="PRIORITAS"/>
    <n v="7648"/>
  </r>
  <r>
    <x v="1"/>
    <x v="20"/>
    <s v="VISA"/>
    <s v="SILVER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2595E2-73C6-4F8B-854D-954EECCE4302}" name="PivotTable1" cacheId="731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J2:N23" firstHeaderRow="1" firstDataRow="2" firstDataCol="2"/>
  <pivotFields count="4">
    <pivotField axis="axisCol" compact="0" outline="0" showAll="0">
      <items count="4">
        <item x="0"/>
        <item x="1"/>
        <item x="2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 defaultSubtotal="0">
      <items count="14">
        <item x="0"/>
        <item x="9"/>
        <item x="1"/>
        <item x="2"/>
        <item x="10"/>
        <item x="3"/>
        <item x="4"/>
        <item x="5"/>
        <item x="11"/>
        <item x="12"/>
        <item x="6"/>
        <item x="13"/>
        <item x="7"/>
        <item x="8"/>
      </items>
    </pivotField>
    <pivotField dataField="1" compact="0" outline="0" showAll="0"/>
  </pivotFields>
  <rowFields count="2">
    <field x="2"/>
    <field x="1"/>
  </rowFields>
  <rowItems count="20">
    <i>
      <x/>
      <x/>
    </i>
    <i r="1">
      <x v="1"/>
    </i>
    <i>
      <x v="1"/>
      <x v="2"/>
    </i>
    <i>
      <x v="2"/>
      <x/>
    </i>
    <i>
      <x v="3"/>
      <x/>
    </i>
    <i r="1">
      <x v="2"/>
    </i>
    <i>
      <x v="4"/>
      <x v="2"/>
    </i>
    <i>
      <x v="5"/>
      <x/>
    </i>
    <i>
      <x v="6"/>
      <x/>
    </i>
    <i>
      <x v="7"/>
      <x/>
    </i>
    <i r="1">
      <x v="2"/>
    </i>
    <i>
      <x v="8"/>
      <x v="2"/>
    </i>
    <i>
      <x v="9"/>
      <x v="2"/>
    </i>
    <i>
      <x v="10"/>
      <x/>
    </i>
    <i r="1">
      <x v="2"/>
    </i>
    <i>
      <x v="11"/>
      <x v="2"/>
    </i>
    <i>
      <x v="12"/>
      <x/>
    </i>
    <i>
      <x v="13"/>
      <x/>
    </i>
    <i r="1">
      <x v="2"/>
    </i>
    <i t="grand">
      <x/>
    </i>
  </rowItems>
  <colFields count="1">
    <field x="0"/>
  </colFields>
  <colItems count="3">
    <i>
      <x/>
    </i>
    <i>
      <x v="1"/>
    </i>
    <i>
      <x v="2"/>
    </i>
  </colItems>
  <dataFields count="1">
    <dataField name="Sum of jml_kartu" fld="3" baseField="0" baseItem="0" numFmtId="3"/>
  </dataFields>
  <formats count="1">
    <format dxfId="37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1DBF9-5331-4A4B-90F7-1BFCB25D08D0}" name="PivotTable1" cacheId="73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2:U23" firstHeaderRow="1" firstDataRow="2" firstDataCol="2"/>
  <pivotFields count="4"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3">
        <item x="0"/>
        <item x="11"/>
        <item x="5"/>
        <item x="8"/>
        <item x="6"/>
        <item x="2"/>
        <item x="4"/>
        <item x="9"/>
        <item x="10"/>
        <item x="7"/>
        <item x="3"/>
        <item x="1"/>
        <item t="default"/>
      </items>
    </pivotField>
    <pivotField dataField="1" compact="0" outline="0" showAll="0"/>
  </pivotFields>
  <rowFields count="2">
    <field x="1"/>
    <field x="2"/>
  </rowFields>
  <rowItems count="20">
    <i>
      <x/>
      <x/>
    </i>
    <i r="1">
      <x v="2"/>
    </i>
    <i r="1">
      <x v="4"/>
    </i>
    <i r="1">
      <x v="5"/>
    </i>
    <i r="1">
      <x v="6"/>
    </i>
    <i r="1">
      <x v="9"/>
    </i>
    <i r="1">
      <x v="10"/>
    </i>
    <i r="1">
      <x v="11"/>
    </i>
    <i t="default">
      <x/>
    </i>
    <i>
      <x v="1"/>
      <x/>
    </i>
    <i t="default">
      <x v="1"/>
    </i>
    <i>
      <x v="2"/>
      <x v="1"/>
    </i>
    <i r="1">
      <x v="2"/>
    </i>
    <i r="1">
      <x v="3"/>
    </i>
    <i r="1">
      <x v="6"/>
    </i>
    <i r="1">
      <x v="7"/>
    </i>
    <i r="1">
      <x v="8"/>
    </i>
    <i r="1">
      <x v="11"/>
    </i>
    <i t="default">
      <x v="2"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name="Sum of jml_kartu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90C598-BE39-453B-98FE-5AF64B62A327}" name="PivotTable3" cacheId="7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G7:H10" firstHeaderRow="1" firstDataRow="1" firstDataCol="1"/>
  <pivotFields count="5">
    <pivotField axis="axisRow" compact="0" outline="0" showAll="0">
      <items count="3">
        <item x="0"/>
        <item x="1"/>
        <item t="default"/>
      </items>
    </pivotField>
    <pivotField compact="0" outline="0" showAll="0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jml_kartu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263F7C-02DD-4276-A967-C92CEE7E4C42}" name="PivotTable2" cacheId="73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compact="0" compactData="0" multipleFieldFilters="0">
  <location ref="G3:H12" firstHeaderRow="1" firstDataRow="1" firstDataCol="1"/>
  <pivotFields count="4"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dataField="1" compact="0" outline="0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um of jml_kartu" fld="3" baseField="0" baseItem="0" numFmtId="164"/>
  </dataFields>
  <formats count="1">
    <format dxfId="36">
      <pivotArea outline="0" collapsedLevelsAreSubtotals="1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4A3509-B6D0-4F77-886A-7AA769A7F967}" name="PivotTable3" cacheId="7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F3:Q27" firstHeaderRow="1" firstDataRow="2" firstDataCol="2"/>
  <pivotFields count="4">
    <pivotField axis="axisCol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compact="0" outline="0" showAll="0">
      <items count="4">
        <item x="0"/>
        <item x="1"/>
        <item x="2"/>
        <item t="default"/>
      </items>
    </pivotField>
    <pivotField axis="axisRow" compact="0" outline="0" showAll="0">
      <items count="15">
        <item x="0"/>
        <item x="9"/>
        <item x="1"/>
        <item x="2"/>
        <item x="10"/>
        <item x="3"/>
        <item x="4"/>
        <item x="5"/>
        <item x="11"/>
        <item x="12"/>
        <item x="6"/>
        <item x="13"/>
        <item x="7"/>
        <item x="8"/>
        <item t="default"/>
      </items>
    </pivotField>
    <pivotField dataField="1" compact="0" outline="0" showAll="0"/>
  </pivotFields>
  <rowFields count="2">
    <field x="1"/>
    <field x="2"/>
  </rowFields>
  <rowItems count="23">
    <i>
      <x/>
      <x/>
    </i>
    <i r="1">
      <x v="2"/>
    </i>
    <i r="1">
      <x v="3"/>
    </i>
    <i r="1">
      <x v="5"/>
    </i>
    <i r="1">
      <x v="6"/>
    </i>
    <i r="1">
      <x v="7"/>
    </i>
    <i r="1">
      <x v="10"/>
    </i>
    <i r="1">
      <x v="12"/>
    </i>
    <i r="1">
      <x v="13"/>
    </i>
    <i t="default">
      <x/>
    </i>
    <i>
      <x v="1"/>
      <x/>
    </i>
    <i t="default">
      <x v="1"/>
    </i>
    <i>
      <x v="2"/>
      <x v="1"/>
    </i>
    <i r="1">
      <x v="3"/>
    </i>
    <i r="1">
      <x v="4"/>
    </i>
    <i r="1">
      <x v="7"/>
    </i>
    <i r="1">
      <x v="8"/>
    </i>
    <i r="1">
      <x v="9"/>
    </i>
    <i r="1">
      <x v="10"/>
    </i>
    <i r="1">
      <x v="11"/>
    </i>
    <i r="1">
      <x v="13"/>
    </i>
    <i t="default">
      <x v="2"/>
    </i>
    <i t="grand">
      <x/>
    </i>
  </rowItems>
  <colFields count="1">
    <field x="0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colItems>
  <dataFields count="1">
    <dataField name="Sum of jml_kartu" fld="3" baseField="0" baseItem="0"/>
  </dataFields>
  <formats count="2">
    <format dxfId="34">
      <pivotArea outline="0" fieldPosition="0">
        <references count="1">
          <reference field="1" count="2" selected="0" defaultSubtotal="1">
            <x v="0"/>
            <x v="1"/>
          </reference>
        </references>
      </pivotArea>
    </format>
    <format dxfId="35">
      <pivotArea outline="0" fieldPosition="0">
        <references count="2">
          <reference field="1" count="1" selected="0">
            <x v="2"/>
          </reference>
          <reference field="2" count="9" selected="0">
            <x v="1"/>
            <x v="3"/>
            <x v="4"/>
            <x v="7"/>
            <x v="8"/>
            <x v="9"/>
            <x v="10"/>
            <x v="11"/>
            <x v="13"/>
          </reference>
        </references>
      </pivotArea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40FDE-9451-4D49-AF1E-FAA0EC715C46}" name="PivotTable1" cacheId="735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compact="0" compactData="0" multipleFieldFilters="0">
  <location ref="F3:H11" firstHeaderRow="1" firstDataRow="2" firstDataCol="1"/>
  <pivotFields count="4">
    <pivotField axis="axisCol" compact="0" outline="0" showAll="0">
      <items count="3">
        <item x="0"/>
        <item x="1"/>
        <item t="default"/>
      </items>
    </pivotField>
    <pivotField compact="0" outline="0" showAll="0"/>
    <pivotField axis="axisRow" compact="0" outline="0" showAll="0">
      <items count="7">
        <item x="0"/>
        <item x="1"/>
        <item x="2"/>
        <item x="5"/>
        <item x="3"/>
        <item x="4"/>
        <item t="default"/>
      </items>
    </pivotField>
    <pivotField dataField="1" compact="0" outline="0"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2">
    <i>
      <x/>
    </i>
    <i>
      <x v="1"/>
    </i>
  </colItems>
  <dataFields count="1">
    <dataField name="Sum of jml_kartu" fld="3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11E086-C9F9-4681-915C-A8B9C86DD548}" name="Table3" displayName="Table3" ref="A1:D58" totalsRowShown="0">
  <autoFilter ref="A1:D58" xr:uid="{9111E086-C9F9-4681-915C-A8B9C86DD548}"/>
  <sortState xmlns:xlrd2="http://schemas.microsoft.com/office/spreadsheetml/2017/richdata2" ref="A2:D58">
    <sortCondition descending="1" ref="A1:A58"/>
  </sortState>
  <tableColumns count="4">
    <tableColumn id="1" xr3:uid="{766A6452-1AE3-4137-93EC-1EEABCAC33EB}" name="posisi"/>
    <tableColumn id="2" xr3:uid="{A8236F2C-B28E-4606-8DD9-B7FE9F2C0183}" name="principal"/>
    <tableColumn id="3" xr3:uid="{6BD1D58B-EAD6-42C9-B70B-2CAD1940E436}" name="jenis_kartu"/>
    <tableColumn id="4" xr3:uid="{74ABFB47-1AF9-4143-B5ED-7D9A4B0EACB1}" name="jml_kart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40ED4-575D-4903-A67E-E92E47BB71E1}" name="Table1" displayName="Table1" ref="A2:D90" totalsRowShown="0">
  <autoFilter ref="A2:D90" xr:uid="{4F040ED4-575D-4903-A67E-E92E47BB71E1}"/>
  <tableColumns count="4">
    <tableColumn id="1" xr3:uid="{4591135C-9134-4F20-8E4E-02F9583EE82D}" name="bulan_exp" dataDxfId="33"/>
    <tableColumn id="2" xr3:uid="{2FB0602A-9FB8-48C1-BBCF-24F973C3EF15}" name="principal"/>
    <tableColumn id="3" xr3:uid="{A0130107-8758-4466-8F29-DD591E828B13}" name="jenis_kartu"/>
    <tableColumn id="4" xr3:uid="{CD0B9089-3BF6-476C-88F0-3AF7F4E6EACC}" name="jml_kart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D5F2A55-E7C3-4D4A-8365-0F3B53D861D0}" name="Table14" displayName="Table14" ref="A1:D191" totalsRowShown="0">
  <autoFilter ref="A1:D191" xr:uid="{2D5F2A55-E7C3-4D4A-8365-0F3B53D861D0}"/>
  <tableColumns count="4">
    <tableColumn id="1" xr3:uid="{82C655F8-DC99-4F02-94EC-CC7994BF6ACF}" name="posisi"/>
    <tableColumn id="2" xr3:uid="{F237A692-3964-407C-89C7-4AB80411EC4F}" name="principal"/>
    <tableColumn id="3" xr3:uid="{B8AC4488-D7D5-4422-A3FF-96BA9DA110DB}" name="jenis_kartu"/>
    <tableColumn id="4" xr3:uid="{97C6DF86-81A3-47D4-9145-565BEA360D46}" name="jml_kart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FBE69D6B-F06F-4878-9DA8-0D1F6E2D8141}" name="Table13" displayName="Table13" ref="A1:E288" totalsRowShown="0">
  <autoFilter ref="A1:E288" xr:uid="{FBE69D6B-F06F-4878-9DA8-0D1F6E2D8141}"/>
  <tableColumns count="5">
    <tableColumn id="1" xr3:uid="{43B3DB28-C79F-4757-BBF6-0B54C9C7AF4D}" name="tahun_exp"/>
    <tableColumn id="2" xr3:uid="{50151015-5570-4B68-81CA-10E537EFC338}" name="bulan_exp"/>
    <tableColumn id="3" xr3:uid="{FFA92722-01C1-4D42-AD27-2DAF8EC34D05}" name="principal"/>
    <tableColumn id="4" xr3:uid="{50C94E7F-F98C-404D-AB0B-E87C999DC327}" name="jenis_kartu"/>
    <tableColumn id="5" xr3:uid="{21F7938B-B8F6-4818-8D3E-9EDB602A648D}" name="jml_kartu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ACE1866-5271-4672-9AB3-BD2A4317CB46}" name="Table2" displayName="Table2" ref="A2:D173" totalsRowShown="0">
  <autoFilter ref="A2:D173" xr:uid="{3ACE1866-5271-4672-9AB3-BD2A4317CB46}"/>
  <tableColumns count="4">
    <tableColumn id="1" xr3:uid="{80915234-2E7A-4778-819E-D6924AB988A1}" name="time_pr"/>
    <tableColumn id="2" xr3:uid="{7BB8831B-3C2C-41F7-9DD7-0FB4554AD8E7}" name="principal"/>
    <tableColumn id="3" xr3:uid="{B420B7FA-BF97-43A6-B80F-6D9DD22F27ED}" name="jenis_kartu"/>
    <tableColumn id="4" xr3:uid="{F7EB120E-CACF-483A-B8F9-033EECD9168C}" name="jml_kartu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66446E-8B05-4382-B6E0-6EBDC81F72F9}" name="Table5" displayName="Table5" ref="L3:O12" totalsRowShown="0">
  <autoFilter ref="L3:O12" xr:uid="{7966446E-8B05-4382-B6E0-6EBDC81F72F9}"/>
  <tableColumns count="4">
    <tableColumn id="1" xr3:uid="{0F25FBD9-53A0-4FE4-9818-8DB7F7402EDC}" name="time_pr"/>
    <tableColumn id="2" xr3:uid="{DCCD18D9-F8FF-4CFC-B76F-3C1602A6C7C3}" name="Sum of jml_kartu" dataDxfId="28"/>
    <tableColumn id="3" xr3:uid="{D5924E0D-616C-4C88-BD66-0FEEB60224EA}" name="Selisih" dataDxfId="27"/>
    <tableColumn id="4" xr3:uid="{B5A9F23D-D481-4053-A3F6-12965D3B8753}" name="% selisih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C9F8A4-FC2A-448B-8AFC-8E657331B216}" name="Table4" displayName="Table4" ref="A2:D173" totalsRowShown="0">
  <autoFilter ref="A2:D173" xr:uid="{89C9F8A4-FC2A-448B-8AFC-8E657331B216}"/>
  <tableColumns count="4">
    <tableColumn id="1" xr3:uid="{E5870491-E1CD-4E52-88A3-35376131621C}" name="time_pr"/>
    <tableColumn id="2" xr3:uid="{56D8D857-F964-4DC5-88E6-CECDEA90C7F5}" name="principal"/>
    <tableColumn id="3" xr3:uid="{BCDEEDCA-492F-404F-B8E4-09A39BAD2B95}" name="jenis_kartu"/>
    <tableColumn id="4" xr3:uid="{CAC8D2A0-53B8-484B-908F-74DC4A9E69BD}" name="jml_kartu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0AD254F-B301-4CC1-882B-EFD51756A737}" name="Table57" displayName="Table57" ref="F31:K50" totalsRowShown="0">
  <autoFilter ref="F31:K50" xr:uid="{60AD254F-B301-4CC1-882B-EFD51756A737}"/>
  <sortState xmlns:xlrd2="http://schemas.microsoft.com/office/spreadsheetml/2017/richdata2" ref="F32:K50">
    <sortCondition descending="1" ref="J3:J22"/>
  </sortState>
  <tableColumns count="6">
    <tableColumn id="1" xr3:uid="{BCD6E35F-C4EE-449B-BF1C-A92CB84B4BAD}" name="principal"/>
    <tableColumn id="2" xr3:uid="{D6237200-0E03-467D-991F-FBC0BFEA3BCD}" name="jenis_kartu"/>
    <tableColumn id="3" xr3:uid="{F030B1C8-493A-490E-8E81-803E76489924}" name="20260131"/>
    <tableColumn id="4" xr3:uid="{9C1436F7-DE2F-4527-8A59-946BB4A0294D}" name="20260930"/>
    <tableColumn id="6" xr3:uid="{630C2994-BFA7-4ADF-B274-7C7F1548134C}" name="selisih" dataDxfId="18">
      <calculatedColumnFormula>Table57[[#This Row],[20260930]]-Table57[[#This Row],[20260131]]</calculatedColumnFormula>
    </tableColumn>
    <tableColumn id="7" xr3:uid="{6526F726-32EB-4B8F-9580-7DBC300CC960}" name="% selisih" dataDxfId="17">
      <calculatedColumnFormula>Table57[[#This Row],[selisih]]/Table57[[#This Row],[20260131]]</calculatedColumnFormula>
    </tableColumn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ECA0D3A-A9D2-4883-8FEC-181842B054D4}" name="Table7" displayName="Table7" ref="S4:AL23" totalsRowShown="0">
  <autoFilter ref="S4:AL23" xr:uid="{FECA0D3A-A9D2-4883-8FEC-181842B054D4}"/>
  <sortState xmlns:xlrd2="http://schemas.microsoft.com/office/spreadsheetml/2017/richdata2" ref="S5:AL23">
    <sortCondition descending="1" ref="AL4:AL23"/>
  </sortState>
  <tableColumns count="20">
    <tableColumn id="1" xr3:uid="{2BFA650F-F002-4925-B06B-892437A77C95}" name="principal"/>
    <tableColumn id="2" xr3:uid="{F81740F4-12F0-40F7-9D93-5FEBBFA79286}" name="jenis_kartu"/>
    <tableColumn id="3" xr3:uid="{0AAD7A63-D5F4-406E-BEB8-22B3164D4E05}" name="20260131"/>
    <tableColumn id="4" xr3:uid="{B331FC10-FC0C-41A8-B377-245E224E9604}" name="20260228"/>
    <tableColumn id="5" xr3:uid="{4BAF24EF-E7AF-4D03-B1B0-FD093B23DFA8}" name="20260331"/>
    <tableColumn id="6" xr3:uid="{8DE9E814-4F0B-46B3-9A4D-A04C2DA3381F}" name="20260430"/>
    <tableColumn id="7" xr3:uid="{B1190076-4537-431D-A3CF-26C65427A341}" name="20260531"/>
    <tableColumn id="8" xr3:uid="{C4CC1F1E-FD8C-42ED-A4DD-4AEC64305424}" name="20260630"/>
    <tableColumn id="9" xr3:uid="{E5FA54E8-2D07-4A16-BC10-D84EC7C7D874}" name="20260731"/>
    <tableColumn id="10" xr3:uid="{18B1B123-BD1A-4AE3-B69D-C353DF56C1BF}" name="20260831"/>
    <tableColumn id="11" xr3:uid="{84873EC6-2B41-4E88-A9FB-18F9CB6FE652}" name="20260930"/>
    <tableColumn id="13" xr3:uid="{431493B8-C615-4853-A6BE-B9B6B2D51888}" name="selisih jan-feb" dataDxfId="16">
      <calculatedColumnFormula>Table7[[#This Row],[20260228]]-Table7[[#This Row],[20260131]]</calculatedColumnFormula>
    </tableColumn>
    <tableColumn id="14" xr3:uid="{F7F2D66A-1909-451F-8931-07C4509EFB0F}" name="feb-mar" dataDxfId="15">
      <calculatedColumnFormula>Table7[[#This Row],[20260331]]-Table7[[#This Row],[20260228]]</calculatedColumnFormula>
    </tableColumn>
    <tableColumn id="15" xr3:uid="{91AA7702-B3F7-4ECA-99E2-4063F3434770}" name="mar-april" dataDxfId="14">
      <calculatedColumnFormula>Table7[[#This Row],[20260430]]-Table7[[#This Row],[20260331]]</calculatedColumnFormula>
    </tableColumn>
    <tableColumn id="16" xr3:uid="{8A703BBD-67F9-413B-9C82-5F2A9FD3360C}" name="apr-mei" dataDxfId="13">
      <calculatedColumnFormula>Table7[[#This Row],[20260531]]-Table7[[#This Row],[20260430]]</calculatedColumnFormula>
    </tableColumn>
    <tableColumn id="17" xr3:uid="{19ED3228-EEE6-4F1E-86A5-91FA10756403}" name="mei-jun" dataDxfId="12">
      <calculatedColumnFormula>Table7[[#This Row],[20260630]]-Table7[[#This Row],[20260531]]</calculatedColumnFormula>
    </tableColumn>
    <tableColumn id="18" xr3:uid="{B98C0E8F-3030-4FB8-B003-5A41DC1336FD}" name="jun-jul" dataDxfId="11">
      <calculatedColumnFormula>Table7[[#This Row],[20260731]]-Table7[[#This Row],[20260630]]</calculatedColumnFormula>
    </tableColumn>
    <tableColumn id="19" xr3:uid="{5DBA9974-9E76-42ED-A8DF-A64A0A775A7F}" name="jul-agus" dataDxfId="10">
      <calculatedColumnFormula>Table7[[#This Row],[20260831]]-Table7[[#This Row],[20260731]]</calculatedColumnFormula>
    </tableColumn>
    <tableColumn id="20" xr3:uid="{5F690F17-9481-4DBA-80AA-E57A62A466A9}" name="agus-sep" dataDxfId="9">
      <calculatedColumnFormula>Table7[[#This Row],[20260930]]-Table7[[#This Row],[20260831]]</calculatedColumnFormula>
    </tableColumn>
    <tableColumn id="12" xr3:uid="{4EB13226-0A2D-4E7A-A4A5-00F67E4597D5}" name="sept-jan" dataDxfId="8">
      <calculatedColumnFormula>SUM(Table7[[#This Row],[20260930]]-Table7[[#This Row],[20260131]])</calculatedColumnFormula>
    </tableColumn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B49DF11-8E7C-447E-AC39-C87784B20617}" name="Table5710" displayName="Table5710" ref="S26:X45" totalsRowShown="0">
  <autoFilter ref="S26:X45" xr:uid="{8B49DF11-8E7C-447E-AC39-C87784B20617}"/>
  <sortState xmlns:xlrd2="http://schemas.microsoft.com/office/spreadsheetml/2017/richdata2" ref="S27:X45">
    <sortCondition descending="1" ref="W3:W22"/>
  </sortState>
  <tableColumns count="6">
    <tableColumn id="1" xr3:uid="{C52DF125-D751-45AE-AFB1-8D931242AFA5}" name="principal"/>
    <tableColumn id="2" xr3:uid="{22855162-4C2C-4EF8-BFFA-4CBF331DC98B}" name="jenis_kartu"/>
    <tableColumn id="3" xr3:uid="{6E1A36DE-FDA0-4C38-9E68-083D6178DB92}" name="20260131"/>
    <tableColumn id="4" xr3:uid="{BAF86738-5A44-43CC-AF37-4CE9CCBEC037}" name="20260930"/>
    <tableColumn id="6" xr3:uid="{AE9617DF-2B42-4115-B6BF-39DE94B7F01D}" name="selisih" dataDxfId="7">
      <calculatedColumnFormula>Table5710[[#This Row],[20260930]]-Table5710[[#This Row],[20260131]]</calculatedColumnFormula>
    </tableColumn>
    <tableColumn id="7" xr3:uid="{57ACE399-8DE4-4FA7-9C9B-6DCD12CF37EE}" name="% selisih" dataDxfId="6">
      <calculatedColumnFormula>Table5710[[#This Row],[selisih]]/Table5710[[#This Row],[20260131]]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0E7E633-B4D1-4486-92C7-34985C50191F}" name="Table8" displayName="Table8" ref="A1:D11" totalsRowCount="1">
  <autoFilter ref="A1:D10" xr:uid="{10E7E633-B4D1-4486-92C7-34985C50191F}"/>
  <tableColumns count="4">
    <tableColumn id="1" xr3:uid="{2FD4B989-93A4-4E75-A699-081B67CE8E70}" name="bulan"/>
    <tableColumn id="2" xr3:uid="{91021C8E-B80C-414E-9614-C7B904437F6D}" name="kartu_baru" totalsRowFunction="custom" dataDxfId="4" totalsRowDxfId="5">
      <totalsRowFormula>AVERAGE(Table8[kartu_baru])</totalsRowFormula>
    </tableColumn>
    <tableColumn id="3" xr3:uid="{7F5C9C5A-1F82-4242-A0B9-667923BABDE1}" name="kartu_aktivasi" totalsRowFunction="custom" dataDxfId="2" totalsRowDxfId="3">
      <totalsRowFormula>AVERAGE(Table8[kartu_aktivasi])</totalsRowFormula>
    </tableColumn>
    <tableColumn id="4" xr3:uid="{59DA913A-FD95-4B71-BF29-A7EC1D50B9CF}" name="selisih" totalsRowFunction="custom" dataDxfId="0" totalsRowDxfId="1">
      <calculatedColumnFormula>Table8[[#This Row],[kartu_baru]]-Table8[[#This Row],[kartu_aktivasi]]</calculatedColumnFormula>
      <totalsRowFormula>AVERAGE(Table8[selisih])</totalsRow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03A87F7-E98E-4745-AB41-DC0626003C9F}" name="Table10" displayName="Table10" ref="A2:D118" totalsRowShown="0">
  <autoFilter ref="A2:D118" xr:uid="{D03A87F7-E98E-4745-AB41-DC0626003C9F}"/>
  <tableColumns count="4">
    <tableColumn id="1" xr3:uid="{48194765-D46D-4C4F-8A97-C38B6C255D30}" name="tahun"/>
    <tableColumn id="2" xr3:uid="{92783ABF-5FD4-4410-BD91-5153FE1612A5}" name="bulan"/>
    <tableColumn id="3" xr3:uid="{72F95473-773E-4491-81DD-D674CBD085D3}" name="channel"/>
    <tableColumn id="4" xr3:uid="{511A575C-0E21-4EEA-B57B-92DDA78B540D}" name="jml_kart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ivotTable" Target="../pivotTables/pivotTable5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8"/>
  <sheetViews>
    <sheetView workbookViewId="0">
      <selection activeCell="H33" sqref="H33"/>
    </sheetView>
  </sheetViews>
  <sheetFormatPr defaultRowHeight="15"/>
  <cols>
    <col min="1" max="1" width="9.85546875" bestFit="1" customWidth="1"/>
    <col min="2" max="2" width="14.42578125" bestFit="1" customWidth="1"/>
    <col min="3" max="3" width="27.42578125" bestFit="1" customWidth="1"/>
    <col min="4" max="4" width="12" bestFit="1" customWidth="1"/>
    <col min="10" max="10" width="27.42578125" bestFit="1" customWidth="1"/>
    <col min="11" max="11" width="14.42578125" bestFit="1" customWidth="1"/>
    <col min="12" max="14" width="11" bestFit="1" customWidth="1"/>
    <col min="15" max="15" width="11.7109375" bestFit="1" customWidth="1"/>
    <col min="16" max="16" width="14.7109375" bestFit="1" customWidth="1"/>
    <col min="17" max="17" width="9.85546875" bestFit="1" customWidth="1"/>
    <col min="18" max="18" width="15" bestFit="1" customWidth="1"/>
    <col min="19" max="19" width="11.7109375" bestFit="1" customWidth="1"/>
    <col min="20" max="20" width="14.7109375" bestFit="1" customWidth="1"/>
    <col min="21" max="21" width="9.85546875" bestFit="1" customWidth="1"/>
    <col min="22" max="22" width="15" bestFit="1" customWidth="1"/>
    <col min="23" max="23" width="11.710937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</row>
    <row r="2" spans="1:14">
      <c r="A2">
        <v>20260930</v>
      </c>
      <c r="B2" t="s">
        <v>4</v>
      </c>
      <c r="C2" t="s">
        <v>5</v>
      </c>
      <c r="D2">
        <v>2000255</v>
      </c>
      <c r="J2" s="1" t="s">
        <v>6</v>
      </c>
      <c r="L2" s="1" t="s">
        <v>0</v>
      </c>
    </row>
    <row r="3" spans="1:14">
      <c r="A3">
        <v>20260930</v>
      </c>
      <c r="B3" t="s">
        <v>4</v>
      </c>
      <c r="C3" t="s">
        <v>7</v>
      </c>
      <c r="D3">
        <v>3892</v>
      </c>
      <c r="J3" s="1" t="s">
        <v>2</v>
      </c>
      <c r="K3" s="1" t="s">
        <v>1</v>
      </c>
      <c r="L3">
        <v>20260731</v>
      </c>
      <c r="M3">
        <v>20260831</v>
      </c>
      <c r="N3">
        <v>20260930</v>
      </c>
    </row>
    <row r="4" spans="1:14">
      <c r="A4">
        <v>20260930</v>
      </c>
      <c r="B4" t="s">
        <v>4</v>
      </c>
      <c r="C4" t="s">
        <v>8</v>
      </c>
      <c r="D4">
        <v>2013676</v>
      </c>
      <c r="J4" t="s">
        <v>5</v>
      </c>
      <c r="K4" t="s">
        <v>4</v>
      </c>
      <c r="L4" s="2">
        <v>1990060</v>
      </c>
      <c r="M4" s="2">
        <v>1996182</v>
      </c>
      <c r="N4" s="2">
        <v>2000255</v>
      </c>
    </row>
    <row r="5" spans="1:14">
      <c r="A5">
        <v>20260930</v>
      </c>
      <c r="B5" t="s">
        <v>4</v>
      </c>
      <c r="C5" t="s">
        <v>9</v>
      </c>
      <c r="D5">
        <v>133646</v>
      </c>
      <c r="K5" t="s">
        <v>10</v>
      </c>
      <c r="L5" s="2">
        <v>8950313</v>
      </c>
      <c r="M5" s="2">
        <v>8945700</v>
      </c>
      <c r="N5" s="2">
        <v>8939694</v>
      </c>
    </row>
    <row r="6" spans="1:14">
      <c r="A6">
        <v>20260930</v>
      </c>
      <c r="B6" t="s">
        <v>4</v>
      </c>
      <c r="C6" t="s">
        <v>11</v>
      </c>
      <c r="D6">
        <v>523466</v>
      </c>
      <c r="J6" t="s">
        <v>12</v>
      </c>
      <c r="K6" t="s">
        <v>13</v>
      </c>
      <c r="L6" s="2">
        <v>3818</v>
      </c>
      <c r="M6" s="2">
        <v>3864</v>
      </c>
      <c r="N6" s="2">
        <v>4006</v>
      </c>
    </row>
    <row r="7" spans="1:14">
      <c r="A7">
        <v>20260930</v>
      </c>
      <c r="B7" t="s">
        <v>4</v>
      </c>
      <c r="C7" t="s">
        <v>14</v>
      </c>
      <c r="D7">
        <v>386438</v>
      </c>
      <c r="J7" t="s">
        <v>7</v>
      </c>
      <c r="K7" t="s">
        <v>4</v>
      </c>
      <c r="L7" s="2">
        <v>4017</v>
      </c>
      <c r="M7" s="2">
        <v>3854</v>
      </c>
      <c r="N7" s="2">
        <v>3892</v>
      </c>
    </row>
    <row r="8" spans="1:14">
      <c r="A8">
        <v>20260930</v>
      </c>
      <c r="B8" t="s">
        <v>4</v>
      </c>
      <c r="C8" t="s">
        <v>15</v>
      </c>
      <c r="D8">
        <v>7974683</v>
      </c>
      <c r="J8" t="s">
        <v>8</v>
      </c>
      <c r="K8" t="s">
        <v>4</v>
      </c>
      <c r="L8" s="2">
        <v>2000821</v>
      </c>
      <c r="M8" s="2">
        <v>2017395</v>
      </c>
      <c r="N8" s="2">
        <v>2013676</v>
      </c>
    </row>
    <row r="9" spans="1:14">
      <c r="A9">
        <v>20260930</v>
      </c>
      <c r="B9" t="s">
        <v>4</v>
      </c>
      <c r="C9" t="s">
        <v>16</v>
      </c>
      <c r="D9">
        <v>543113</v>
      </c>
      <c r="K9" t="s">
        <v>13</v>
      </c>
      <c r="L9" s="2">
        <v>7902643</v>
      </c>
      <c r="M9" s="2">
        <v>7928772</v>
      </c>
      <c r="N9" s="2">
        <v>7949293</v>
      </c>
    </row>
    <row r="10" spans="1:14">
      <c r="A10">
        <v>20260930</v>
      </c>
      <c r="B10" t="s">
        <v>4</v>
      </c>
      <c r="C10" t="s">
        <v>17</v>
      </c>
      <c r="D10">
        <v>37899</v>
      </c>
      <c r="J10" t="s">
        <v>18</v>
      </c>
      <c r="K10" t="s">
        <v>13</v>
      </c>
      <c r="L10" s="2">
        <v>135013</v>
      </c>
      <c r="M10" s="2">
        <v>136623</v>
      </c>
      <c r="N10" s="2">
        <v>138005</v>
      </c>
    </row>
    <row r="11" spans="1:14">
      <c r="A11">
        <v>20260930</v>
      </c>
      <c r="B11" t="s">
        <v>10</v>
      </c>
      <c r="C11" t="s">
        <v>5</v>
      </c>
      <c r="D11">
        <v>8939694</v>
      </c>
      <c r="J11" t="s">
        <v>9</v>
      </c>
      <c r="K11" t="s">
        <v>4</v>
      </c>
      <c r="L11" s="2">
        <v>141574</v>
      </c>
      <c r="M11" s="2">
        <v>137945</v>
      </c>
      <c r="N11" s="2">
        <v>133646</v>
      </c>
    </row>
    <row r="12" spans="1:14">
      <c r="A12">
        <v>20260930</v>
      </c>
      <c r="B12" t="s">
        <v>13</v>
      </c>
      <c r="C12" t="s">
        <v>12</v>
      </c>
      <c r="D12">
        <v>4006</v>
      </c>
      <c r="J12" t="s">
        <v>11</v>
      </c>
      <c r="K12" t="s">
        <v>4</v>
      </c>
      <c r="L12" s="2">
        <v>615627</v>
      </c>
      <c r="M12" s="2">
        <v>569921</v>
      </c>
      <c r="N12" s="2">
        <v>523466</v>
      </c>
    </row>
    <row r="13" spans="1:14">
      <c r="A13">
        <v>20260930</v>
      </c>
      <c r="B13" t="s">
        <v>13</v>
      </c>
      <c r="C13" t="s">
        <v>8</v>
      </c>
      <c r="D13">
        <v>7949293</v>
      </c>
      <c r="J13" t="s">
        <v>14</v>
      </c>
      <c r="K13" t="s">
        <v>4</v>
      </c>
      <c r="L13" s="2">
        <v>396754</v>
      </c>
      <c r="M13" s="2">
        <v>394329</v>
      </c>
      <c r="N13" s="2">
        <v>386438</v>
      </c>
    </row>
    <row r="14" spans="1:14">
      <c r="A14">
        <v>20260930</v>
      </c>
      <c r="B14" t="s">
        <v>13</v>
      </c>
      <c r="C14" t="s">
        <v>18</v>
      </c>
      <c r="D14">
        <v>138005</v>
      </c>
      <c r="K14" t="s">
        <v>13</v>
      </c>
      <c r="L14" s="2">
        <v>3329016</v>
      </c>
      <c r="M14" s="2">
        <v>3389415</v>
      </c>
      <c r="N14" s="2">
        <v>3412714</v>
      </c>
    </row>
    <row r="15" spans="1:14">
      <c r="A15">
        <v>20260930</v>
      </c>
      <c r="B15" t="s">
        <v>13</v>
      </c>
      <c r="C15" t="s">
        <v>14</v>
      </c>
      <c r="D15">
        <v>3412714</v>
      </c>
      <c r="J15" t="s">
        <v>19</v>
      </c>
      <c r="K15" t="s">
        <v>13</v>
      </c>
      <c r="L15" s="2">
        <v>199044</v>
      </c>
      <c r="M15" s="2">
        <v>200824</v>
      </c>
      <c r="N15" s="2">
        <v>202094</v>
      </c>
    </row>
    <row r="16" spans="1:14">
      <c r="A16">
        <v>20260930</v>
      </c>
      <c r="B16" t="s">
        <v>13</v>
      </c>
      <c r="C16" t="s">
        <v>19</v>
      </c>
      <c r="D16">
        <v>202094</v>
      </c>
      <c r="J16" t="s">
        <v>20</v>
      </c>
      <c r="K16" t="s">
        <v>13</v>
      </c>
      <c r="L16" s="2">
        <v>110909</v>
      </c>
      <c r="M16" s="2">
        <v>112894</v>
      </c>
      <c r="N16" s="2">
        <v>114846</v>
      </c>
    </row>
    <row r="17" spans="1:14">
      <c r="A17">
        <v>20260930</v>
      </c>
      <c r="B17" t="s">
        <v>13</v>
      </c>
      <c r="C17" t="s">
        <v>20</v>
      </c>
      <c r="D17">
        <v>114846</v>
      </c>
      <c r="J17" t="s">
        <v>15</v>
      </c>
      <c r="K17" t="s">
        <v>4</v>
      </c>
      <c r="L17" s="2">
        <v>8091350</v>
      </c>
      <c r="M17" s="2">
        <v>8034855</v>
      </c>
      <c r="N17" s="2">
        <v>7974683</v>
      </c>
    </row>
    <row r="18" spans="1:14">
      <c r="A18">
        <v>20260930</v>
      </c>
      <c r="B18" t="s">
        <v>13</v>
      </c>
      <c r="C18" t="s">
        <v>15</v>
      </c>
      <c r="D18">
        <v>1</v>
      </c>
      <c r="K18" t="s">
        <v>13</v>
      </c>
      <c r="L18" s="2">
        <v>1</v>
      </c>
      <c r="M18" s="2">
        <v>1</v>
      </c>
      <c r="N18" s="2">
        <v>1</v>
      </c>
    </row>
    <row r="19" spans="1:14">
      <c r="A19">
        <v>20260930</v>
      </c>
      <c r="B19" t="s">
        <v>13</v>
      </c>
      <c r="C19" t="s">
        <v>21</v>
      </c>
      <c r="D19">
        <v>1023050</v>
      </c>
      <c r="J19" t="s">
        <v>21</v>
      </c>
      <c r="K19" t="s">
        <v>13</v>
      </c>
      <c r="L19" s="2">
        <v>1008930</v>
      </c>
      <c r="M19" s="2">
        <v>1018757</v>
      </c>
      <c r="N19" s="2">
        <v>1023050</v>
      </c>
    </row>
    <row r="20" spans="1:14">
      <c r="A20">
        <v>20260930</v>
      </c>
      <c r="B20" t="s">
        <v>13</v>
      </c>
      <c r="C20" t="s">
        <v>17</v>
      </c>
      <c r="D20">
        <v>6</v>
      </c>
      <c r="J20" t="s">
        <v>16</v>
      </c>
      <c r="K20" t="s">
        <v>4</v>
      </c>
      <c r="L20" s="2">
        <v>540899</v>
      </c>
      <c r="M20" s="2">
        <v>547154</v>
      </c>
      <c r="N20" s="2">
        <v>543113</v>
      </c>
    </row>
    <row r="21" spans="1:14">
      <c r="A21">
        <v>20260831</v>
      </c>
      <c r="B21" t="s">
        <v>4</v>
      </c>
      <c r="C21" t="s">
        <v>5</v>
      </c>
      <c r="D21">
        <v>1996182</v>
      </c>
      <c r="J21" t="s">
        <v>17</v>
      </c>
      <c r="K21" t="s">
        <v>4</v>
      </c>
      <c r="L21" s="2">
        <v>35511</v>
      </c>
      <c r="M21" s="2">
        <v>36177</v>
      </c>
      <c r="N21" s="2">
        <v>37899</v>
      </c>
    </row>
    <row r="22" spans="1:14">
      <c r="A22">
        <v>20260831</v>
      </c>
      <c r="B22" t="s">
        <v>4</v>
      </c>
      <c r="C22" t="s">
        <v>7</v>
      </c>
      <c r="D22">
        <v>3854</v>
      </c>
      <c r="K22" t="s">
        <v>13</v>
      </c>
      <c r="L22" s="2">
        <v>6</v>
      </c>
      <c r="M22" s="2">
        <v>6</v>
      </c>
      <c r="N22" s="2">
        <v>6</v>
      </c>
    </row>
    <row r="23" spans="1:14">
      <c r="A23">
        <v>20260831</v>
      </c>
      <c r="B23" t="s">
        <v>4</v>
      </c>
      <c r="C23" t="s">
        <v>8</v>
      </c>
      <c r="D23">
        <v>2017395</v>
      </c>
      <c r="J23" t="s">
        <v>22</v>
      </c>
      <c r="L23" s="2">
        <v>35456306</v>
      </c>
      <c r="M23" s="2">
        <v>35474668</v>
      </c>
      <c r="N23" s="2">
        <v>35400777</v>
      </c>
    </row>
    <row r="24" spans="1:14">
      <c r="A24">
        <v>20260831</v>
      </c>
      <c r="B24" t="s">
        <v>4</v>
      </c>
      <c r="C24" t="s">
        <v>9</v>
      </c>
      <c r="D24">
        <v>137945</v>
      </c>
    </row>
    <row r="25" spans="1:14">
      <c r="A25">
        <v>20260831</v>
      </c>
      <c r="B25" t="s">
        <v>4</v>
      </c>
      <c r="C25" t="s">
        <v>11</v>
      </c>
      <c r="D25">
        <v>569921</v>
      </c>
    </row>
    <row r="26" spans="1:14">
      <c r="A26">
        <v>20260831</v>
      </c>
      <c r="B26" t="s">
        <v>4</v>
      </c>
      <c r="C26" t="s">
        <v>14</v>
      </c>
      <c r="D26">
        <v>394329</v>
      </c>
    </row>
    <row r="27" spans="1:14">
      <c r="A27">
        <v>20260831</v>
      </c>
      <c r="B27" t="s">
        <v>4</v>
      </c>
      <c r="C27" t="s">
        <v>15</v>
      </c>
      <c r="D27">
        <v>8034855</v>
      </c>
      <c r="J27" t="s">
        <v>23</v>
      </c>
    </row>
    <row r="28" spans="1:14">
      <c r="A28">
        <v>20260831</v>
      </c>
      <c r="B28" t="s">
        <v>4</v>
      </c>
      <c r="C28" t="s">
        <v>16</v>
      </c>
      <c r="D28">
        <v>547154</v>
      </c>
      <c r="J28" t="s">
        <v>24</v>
      </c>
    </row>
    <row r="29" spans="1:14">
      <c r="A29">
        <v>20260831</v>
      </c>
      <c r="B29" t="s">
        <v>4</v>
      </c>
      <c r="C29" t="s">
        <v>17</v>
      </c>
      <c r="D29">
        <v>36177</v>
      </c>
      <c r="J29" t="s">
        <v>25</v>
      </c>
    </row>
    <row r="30" spans="1:14">
      <c r="A30">
        <v>20260831</v>
      </c>
      <c r="B30" t="s">
        <v>10</v>
      </c>
      <c r="C30" t="s">
        <v>5</v>
      </c>
      <c r="D30">
        <v>8945700</v>
      </c>
      <c r="J30" t="s">
        <v>26</v>
      </c>
    </row>
    <row r="31" spans="1:14">
      <c r="A31">
        <v>20260831</v>
      </c>
      <c r="B31" t="s">
        <v>13</v>
      </c>
      <c r="C31" t="s">
        <v>12</v>
      </c>
      <c r="D31">
        <v>3864</v>
      </c>
      <c r="J31" t="s">
        <v>27</v>
      </c>
    </row>
    <row r="32" spans="1:14">
      <c r="A32">
        <v>20260831</v>
      </c>
      <c r="B32" t="s">
        <v>13</v>
      </c>
      <c r="C32" t="s">
        <v>8</v>
      </c>
      <c r="D32">
        <v>7928772</v>
      </c>
      <c r="J32" t="s">
        <v>28</v>
      </c>
    </row>
    <row r="33" spans="1:10">
      <c r="A33">
        <v>20260831</v>
      </c>
      <c r="B33" t="s">
        <v>13</v>
      </c>
      <c r="C33" t="s">
        <v>18</v>
      </c>
      <c r="D33">
        <v>136623</v>
      </c>
      <c r="J33" t="s">
        <v>29</v>
      </c>
    </row>
    <row r="34" spans="1:10">
      <c r="A34">
        <v>20260831</v>
      </c>
      <c r="B34" t="s">
        <v>13</v>
      </c>
      <c r="C34" t="s">
        <v>14</v>
      </c>
      <c r="D34">
        <v>3389415</v>
      </c>
      <c r="J34" t="s">
        <v>30</v>
      </c>
    </row>
    <row r="35" spans="1:10">
      <c r="A35">
        <v>20260831</v>
      </c>
      <c r="B35" t="s">
        <v>13</v>
      </c>
      <c r="C35" t="s">
        <v>19</v>
      </c>
      <c r="D35">
        <v>200824</v>
      </c>
      <c r="J35" t="s">
        <v>31</v>
      </c>
    </row>
    <row r="36" spans="1:10">
      <c r="A36">
        <v>20260831</v>
      </c>
      <c r="B36" t="s">
        <v>13</v>
      </c>
      <c r="C36" t="s">
        <v>20</v>
      </c>
      <c r="D36">
        <v>112894</v>
      </c>
      <c r="J36" t="s">
        <v>32</v>
      </c>
    </row>
    <row r="37" spans="1:10">
      <c r="A37">
        <v>20260831</v>
      </c>
      <c r="B37" t="s">
        <v>13</v>
      </c>
      <c r="C37" t="s">
        <v>15</v>
      </c>
      <c r="D37">
        <v>1</v>
      </c>
      <c r="J37" t="s">
        <v>33</v>
      </c>
    </row>
    <row r="38" spans="1:10">
      <c r="A38">
        <v>20260831</v>
      </c>
      <c r="B38" t="s">
        <v>13</v>
      </c>
      <c r="C38" t="s">
        <v>21</v>
      </c>
      <c r="D38">
        <v>1018757</v>
      </c>
      <c r="J38" t="s">
        <v>34</v>
      </c>
    </row>
    <row r="39" spans="1:10">
      <c r="A39">
        <v>20260831</v>
      </c>
      <c r="B39" t="s">
        <v>13</v>
      </c>
      <c r="C39" t="s">
        <v>17</v>
      </c>
      <c r="D39">
        <v>6</v>
      </c>
      <c r="J39" t="s">
        <v>35</v>
      </c>
    </row>
    <row r="40" spans="1:10">
      <c r="A40">
        <v>20260731</v>
      </c>
      <c r="B40" t="s">
        <v>4</v>
      </c>
      <c r="C40" t="s">
        <v>5</v>
      </c>
      <c r="D40">
        <v>1990060</v>
      </c>
      <c r="J40" t="s">
        <v>36</v>
      </c>
    </row>
    <row r="41" spans="1:10">
      <c r="A41">
        <v>20260731</v>
      </c>
      <c r="B41" t="s">
        <v>4</v>
      </c>
      <c r="C41" t="s">
        <v>7</v>
      </c>
      <c r="D41">
        <v>4017</v>
      </c>
      <c r="J41" t="s">
        <v>37</v>
      </c>
    </row>
    <row r="42" spans="1:10">
      <c r="A42">
        <v>20260731</v>
      </c>
      <c r="B42" t="s">
        <v>4</v>
      </c>
      <c r="C42" t="s">
        <v>8</v>
      </c>
      <c r="D42">
        <v>2000821</v>
      </c>
      <c r="J42" t="s">
        <v>38</v>
      </c>
    </row>
    <row r="43" spans="1:10">
      <c r="A43">
        <v>20260731</v>
      </c>
      <c r="B43" t="s">
        <v>4</v>
      </c>
      <c r="C43" t="s">
        <v>9</v>
      </c>
      <c r="D43">
        <v>141574</v>
      </c>
      <c r="J43" t="s">
        <v>39</v>
      </c>
    </row>
    <row r="44" spans="1:10">
      <c r="A44">
        <v>20260731</v>
      </c>
      <c r="B44" t="s">
        <v>4</v>
      </c>
      <c r="C44" t="s">
        <v>11</v>
      </c>
      <c r="D44">
        <v>615627</v>
      </c>
      <c r="J44" t="s">
        <v>40</v>
      </c>
    </row>
    <row r="45" spans="1:10">
      <c r="A45">
        <v>20260731</v>
      </c>
      <c r="B45" t="s">
        <v>4</v>
      </c>
      <c r="C45" t="s">
        <v>14</v>
      </c>
      <c r="D45">
        <v>396754</v>
      </c>
      <c r="J45" t="s">
        <v>41</v>
      </c>
    </row>
    <row r="46" spans="1:10">
      <c r="A46">
        <v>20260731</v>
      </c>
      <c r="B46" t="s">
        <v>4</v>
      </c>
      <c r="C46" t="s">
        <v>15</v>
      </c>
      <c r="D46">
        <v>8091350</v>
      </c>
      <c r="J46" t="s">
        <v>42</v>
      </c>
    </row>
    <row r="47" spans="1:10">
      <c r="A47">
        <v>20260731</v>
      </c>
      <c r="B47" t="s">
        <v>4</v>
      </c>
      <c r="C47" t="s">
        <v>16</v>
      </c>
      <c r="D47">
        <v>540899</v>
      </c>
      <c r="J47" t="s">
        <v>43</v>
      </c>
    </row>
    <row r="48" spans="1:10">
      <c r="A48">
        <v>20260731</v>
      </c>
      <c r="B48" t="s">
        <v>4</v>
      </c>
      <c r="C48" t="s">
        <v>17</v>
      </c>
      <c r="D48">
        <v>35511</v>
      </c>
      <c r="J48" t="s">
        <v>44</v>
      </c>
    </row>
    <row r="49" spans="1:4">
      <c r="A49">
        <v>20260731</v>
      </c>
      <c r="B49" t="s">
        <v>10</v>
      </c>
      <c r="C49" t="s">
        <v>5</v>
      </c>
      <c r="D49">
        <v>8950313</v>
      </c>
    </row>
    <row r="50" spans="1:4">
      <c r="A50">
        <v>20260731</v>
      </c>
      <c r="B50" t="s">
        <v>13</v>
      </c>
      <c r="C50" t="s">
        <v>12</v>
      </c>
      <c r="D50">
        <v>3818</v>
      </c>
    </row>
    <row r="51" spans="1:4">
      <c r="A51">
        <v>20260731</v>
      </c>
      <c r="B51" t="s">
        <v>13</v>
      </c>
      <c r="C51" t="s">
        <v>8</v>
      </c>
      <c r="D51">
        <v>7902643</v>
      </c>
    </row>
    <row r="52" spans="1:4">
      <c r="A52">
        <v>20260731</v>
      </c>
      <c r="B52" t="s">
        <v>13</v>
      </c>
      <c r="C52" t="s">
        <v>18</v>
      </c>
      <c r="D52">
        <v>135013</v>
      </c>
    </row>
    <row r="53" spans="1:4">
      <c r="A53">
        <v>20260731</v>
      </c>
      <c r="B53" t="s">
        <v>13</v>
      </c>
      <c r="C53" t="s">
        <v>14</v>
      </c>
      <c r="D53">
        <v>3329016</v>
      </c>
    </row>
    <row r="54" spans="1:4">
      <c r="A54">
        <v>20260731</v>
      </c>
      <c r="B54" t="s">
        <v>13</v>
      </c>
      <c r="C54" t="s">
        <v>19</v>
      </c>
      <c r="D54">
        <v>199044</v>
      </c>
    </row>
    <row r="55" spans="1:4">
      <c r="A55">
        <v>20260731</v>
      </c>
      <c r="B55" t="s">
        <v>13</v>
      </c>
      <c r="C55" t="s">
        <v>20</v>
      </c>
      <c r="D55">
        <v>110909</v>
      </c>
    </row>
    <row r="56" spans="1:4">
      <c r="A56">
        <v>20260731</v>
      </c>
      <c r="B56" t="s">
        <v>13</v>
      </c>
      <c r="C56" t="s">
        <v>15</v>
      </c>
      <c r="D56">
        <v>1</v>
      </c>
    </row>
    <row r="57" spans="1:4">
      <c r="A57">
        <v>20260731</v>
      </c>
      <c r="B57" t="s">
        <v>13</v>
      </c>
      <c r="C57" t="s">
        <v>21</v>
      </c>
      <c r="D57">
        <v>1008930</v>
      </c>
    </row>
    <row r="58" spans="1:4">
      <c r="A58">
        <v>20260731</v>
      </c>
      <c r="B58" t="s">
        <v>13</v>
      </c>
      <c r="C58" t="s">
        <v>17</v>
      </c>
      <c r="D58">
        <v>6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CE6BE-A9E2-486D-B4A3-DE25BDCA9542}">
  <dimension ref="A2:U90"/>
  <sheetViews>
    <sheetView topLeftCell="A24" workbookViewId="0">
      <selection activeCell="A2" sqref="A2"/>
    </sheetView>
  </sheetViews>
  <sheetFormatPr defaultRowHeight="15"/>
  <cols>
    <col min="1" max="1" width="12.7109375" style="4" bestFit="1" customWidth="1"/>
    <col min="2" max="2" width="14.42578125" bestFit="1" customWidth="1"/>
    <col min="3" max="3" width="27.42578125" bestFit="1" customWidth="1"/>
    <col min="4" max="4" width="12" bestFit="1" customWidth="1"/>
    <col min="7" max="7" width="14.42578125" style="3" bestFit="1" customWidth="1"/>
    <col min="8" max="8" width="27.42578125" bestFit="1" customWidth="1"/>
    <col min="9" max="9" width="13.5703125" bestFit="1" customWidth="1"/>
    <col min="10" max="10" width="6.5703125" bestFit="1" customWidth="1"/>
    <col min="11" max="11" width="5.42578125" bestFit="1" customWidth="1"/>
    <col min="12" max="14" width="7.7109375" bestFit="1" customWidth="1"/>
    <col min="15" max="15" width="5.42578125" bestFit="1" customWidth="1"/>
    <col min="16" max="20" width="7.7109375" bestFit="1" customWidth="1"/>
    <col min="21" max="21" width="11.7109375" bestFit="1" customWidth="1"/>
    <col min="22" max="22" width="10.85546875" bestFit="1" customWidth="1"/>
    <col min="23" max="23" width="17.140625" bestFit="1" customWidth="1"/>
    <col min="24" max="24" width="10.7109375" bestFit="1" customWidth="1"/>
    <col min="25" max="25" width="18.5703125" bestFit="1" customWidth="1"/>
    <col min="26" max="26" width="10.28515625" bestFit="1" customWidth="1"/>
    <col min="27" max="27" width="11.7109375" bestFit="1" customWidth="1"/>
    <col min="28" max="28" width="15.85546875" bestFit="1" customWidth="1"/>
    <col min="29" max="29" width="9" bestFit="1" customWidth="1"/>
    <col min="30" max="30" width="12.140625" bestFit="1" customWidth="1"/>
    <col min="31" max="31" width="9.5703125" bestFit="1" customWidth="1"/>
    <col min="32" max="32" width="12.7109375" bestFit="1" customWidth="1"/>
    <col min="33" max="33" width="20.42578125" bestFit="1" customWidth="1"/>
    <col min="34" max="34" width="5.28515625" bestFit="1" customWidth="1"/>
    <col min="35" max="35" width="23.7109375" bestFit="1" customWidth="1"/>
    <col min="36" max="36" width="11.7109375" bestFit="1" customWidth="1"/>
  </cols>
  <sheetData>
    <row r="2" spans="1:21">
      <c r="A2" s="4" t="s">
        <v>45</v>
      </c>
      <c r="B2" t="s">
        <v>1</v>
      </c>
      <c r="C2" t="s">
        <v>2</v>
      </c>
      <c r="D2" t="s">
        <v>3</v>
      </c>
      <c r="G2" s="1" t="s">
        <v>6</v>
      </c>
      <c r="I2" s="1" t="s">
        <v>45</v>
      </c>
    </row>
    <row r="3" spans="1:21">
      <c r="A3" s="4">
        <v>2601</v>
      </c>
      <c r="B3" t="s">
        <v>4</v>
      </c>
      <c r="C3" t="s">
        <v>5</v>
      </c>
      <c r="D3">
        <v>353</v>
      </c>
      <c r="G3" s="1" t="s">
        <v>1</v>
      </c>
      <c r="H3" s="1" t="s">
        <v>2</v>
      </c>
      <c r="I3">
        <v>2601</v>
      </c>
      <c r="J3">
        <v>2602</v>
      </c>
      <c r="K3">
        <v>2603</v>
      </c>
      <c r="L3">
        <v>2604</v>
      </c>
      <c r="M3">
        <v>2605</v>
      </c>
      <c r="N3">
        <v>2606</v>
      </c>
      <c r="O3">
        <v>2607</v>
      </c>
      <c r="P3">
        <v>2608</v>
      </c>
      <c r="Q3">
        <v>2609</v>
      </c>
      <c r="R3">
        <v>2610</v>
      </c>
      <c r="S3">
        <v>2611</v>
      </c>
      <c r="T3">
        <v>2612</v>
      </c>
      <c r="U3" t="s">
        <v>22</v>
      </c>
    </row>
    <row r="4" spans="1:21">
      <c r="A4" s="4">
        <v>2601</v>
      </c>
      <c r="B4" t="s">
        <v>4</v>
      </c>
      <c r="C4" t="s">
        <v>17</v>
      </c>
      <c r="D4">
        <v>303</v>
      </c>
      <c r="G4" t="s">
        <v>4</v>
      </c>
      <c r="H4" t="s">
        <v>5</v>
      </c>
      <c r="I4">
        <v>353</v>
      </c>
      <c r="J4">
        <v>1156</v>
      </c>
      <c r="K4">
        <v>1658</v>
      </c>
      <c r="L4">
        <v>1915</v>
      </c>
      <c r="M4">
        <v>816</v>
      </c>
      <c r="N4">
        <v>532</v>
      </c>
      <c r="O4">
        <v>987</v>
      </c>
      <c r="P4">
        <v>3716</v>
      </c>
      <c r="Q4">
        <v>15104</v>
      </c>
      <c r="R4">
        <v>20138</v>
      </c>
      <c r="S4">
        <v>8085</v>
      </c>
      <c r="T4">
        <v>6644</v>
      </c>
      <c r="U4">
        <v>61104</v>
      </c>
    </row>
    <row r="5" spans="1:21">
      <c r="A5" s="4">
        <v>2601</v>
      </c>
      <c r="B5" t="s">
        <v>10</v>
      </c>
      <c r="C5" t="s">
        <v>5</v>
      </c>
      <c r="D5">
        <v>242494</v>
      </c>
      <c r="G5"/>
      <c r="H5" t="s">
        <v>8</v>
      </c>
      <c r="Q5">
        <v>33137</v>
      </c>
      <c r="R5">
        <v>27855</v>
      </c>
      <c r="S5">
        <v>36603</v>
      </c>
      <c r="T5">
        <v>32234</v>
      </c>
      <c r="U5">
        <v>129829</v>
      </c>
    </row>
    <row r="6" spans="1:21">
      <c r="A6" s="4">
        <v>2602</v>
      </c>
      <c r="B6" t="s">
        <v>4</v>
      </c>
      <c r="C6" t="s">
        <v>5</v>
      </c>
      <c r="D6">
        <v>1156</v>
      </c>
      <c r="G6"/>
      <c r="H6" t="s">
        <v>9</v>
      </c>
      <c r="Q6">
        <v>10989</v>
      </c>
      <c r="R6">
        <v>9524</v>
      </c>
      <c r="S6">
        <v>6195</v>
      </c>
      <c r="T6">
        <v>5836</v>
      </c>
      <c r="U6">
        <v>32544</v>
      </c>
    </row>
    <row r="7" spans="1:21">
      <c r="A7" s="4">
        <v>2602</v>
      </c>
      <c r="B7" t="s">
        <v>4</v>
      </c>
      <c r="C7" t="s">
        <v>17</v>
      </c>
      <c r="D7">
        <v>162</v>
      </c>
      <c r="G7"/>
      <c r="H7" t="s">
        <v>11</v>
      </c>
      <c r="K7">
        <v>3</v>
      </c>
      <c r="Q7">
        <v>37760</v>
      </c>
      <c r="R7">
        <v>26795</v>
      </c>
      <c r="S7">
        <v>23856</v>
      </c>
      <c r="T7">
        <v>13178</v>
      </c>
      <c r="U7">
        <v>101592</v>
      </c>
    </row>
    <row r="8" spans="1:21">
      <c r="A8" s="4">
        <v>2602</v>
      </c>
      <c r="B8" t="s">
        <v>10</v>
      </c>
      <c r="C8" t="s">
        <v>5</v>
      </c>
      <c r="D8">
        <v>76105</v>
      </c>
      <c r="G8"/>
      <c r="H8" t="s">
        <v>14</v>
      </c>
      <c r="O8">
        <v>1</v>
      </c>
      <c r="Q8">
        <v>7337</v>
      </c>
      <c r="R8">
        <v>5391</v>
      </c>
      <c r="S8">
        <v>8196</v>
      </c>
      <c r="T8">
        <v>4975</v>
      </c>
      <c r="U8">
        <v>25900</v>
      </c>
    </row>
    <row r="9" spans="1:21">
      <c r="A9" s="4">
        <v>2603</v>
      </c>
      <c r="B9" t="s">
        <v>4</v>
      </c>
      <c r="C9" t="s">
        <v>5</v>
      </c>
      <c r="D9">
        <v>1658</v>
      </c>
      <c r="G9"/>
      <c r="H9" t="s">
        <v>15</v>
      </c>
      <c r="Q9">
        <v>136507</v>
      </c>
      <c r="R9">
        <v>144072</v>
      </c>
      <c r="S9">
        <v>169733</v>
      </c>
      <c r="T9">
        <v>78441</v>
      </c>
      <c r="U9">
        <v>528753</v>
      </c>
    </row>
    <row r="10" spans="1:21">
      <c r="A10" s="4">
        <v>2603</v>
      </c>
      <c r="B10" t="s">
        <v>4</v>
      </c>
      <c r="C10" t="s">
        <v>11</v>
      </c>
      <c r="D10">
        <v>3</v>
      </c>
      <c r="G10"/>
      <c r="H10" t="s">
        <v>16</v>
      </c>
      <c r="K10">
        <v>12</v>
      </c>
      <c r="M10">
        <v>1</v>
      </c>
      <c r="Q10">
        <v>25269</v>
      </c>
      <c r="R10">
        <v>27323</v>
      </c>
      <c r="S10">
        <v>21776</v>
      </c>
      <c r="T10">
        <v>9480</v>
      </c>
      <c r="U10">
        <v>83861</v>
      </c>
    </row>
    <row r="11" spans="1:21">
      <c r="A11" s="4">
        <v>2603</v>
      </c>
      <c r="B11" t="s">
        <v>4</v>
      </c>
      <c r="C11" t="s">
        <v>16</v>
      </c>
      <c r="D11">
        <v>12</v>
      </c>
      <c r="G11"/>
      <c r="H11" t="s">
        <v>17</v>
      </c>
      <c r="I11">
        <v>303</v>
      </c>
      <c r="J11">
        <v>162</v>
      </c>
      <c r="K11">
        <v>112</v>
      </c>
      <c r="L11">
        <v>111</v>
      </c>
      <c r="M11">
        <v>144</v>
      </c>
      <c r="N11">
        <v>214</v>
      </c>
      <c r="O11">
        <v>463</v>
      </c>
      <c r="P11">
        <v>128</v>
      </c>
      <c r="Q11">
        <v>94</v>
      </c>
      <c r="R11">
        <v>179</v>
      </c>
      <c r="S11">
        <v>255</v>
      </c>
      <c r="T11">
        <v>768</v>
      </c>
      <c r="U11">
        <v>2933</v>
      </c>
    </row>
    <row r="12" spans="1:21">
      <c r="A12" s="4">
        <v>2603</v>
      </c>
      <c r="B12" t="s">
        <v>4</v>
      </c>
      <c r="C12" t="s">
        <v>17</v>
      </c>
      <c r="D12">
        <v>112</v>
      </c>
      <c r="G12" t="s">
        <v>46</v>
      </c>
      <c r="I12">
        <v>656</v>
      </c>
      <c r="J12">
        <v>1318</v>
      </c>
      <c r="K12">
        <v>1785</v>
      </c>
      <c r="L12">
        <v>2026</v>
      </c>
      <c r="M12">
        <v>961</v>
      </c>
      <c r="N12">
        <v>746</v>
      </c>
      <c r="O12">
        <v>1451</v>
      </c>
      <c r="P12">
        <v>3844</v>
      </c>
      <c r="Q12">
        <v>266197</v>
      </c>
      <c r="R12">
        <v>261277</v>
      </c>
      <c r="S12">
        <v>274699</v>
      </c>
      <c r="T12">
        <v>151556</v>
      </c>
      <c r="U12">
        <v>966516</v>
      </c>
    </row>
    <row r="13" spans="1:21">
      <c r="A13" s="4">
        <v>2603</v>
      </c>
      <c r="B13" t="s">
        <v>10</v>
      </c>
      <c r="C13" t="s">
        <v>5</v>
      </c>
      <c r="D13">
        <v>4508</v>
      </c>
      <c r="G13" t="s">
        <v>10</v>
      </c>
      <c r="H13" t="s">
        <v>5</v>
      </c>
      <c r="I13">
        <v>242494</v>
      </c>
      <c r="J13">
        <v>76105</v>
      </c>
      <c r="K13">
        <v>4508</v>
      </c>
      <c r="L13">
        <v>104998</v>
      </c>
      <c r="M13">
        <v>314373</v>
      </c>
      <c r="N13">
        <v>139511</v>
      </c>
      <c r="O13">
        <v>5459</v>
      </c>
      <c r="P13">
        <v>824579</v>
      </c>
      <c r="Q13">
        <v>311609</v>
      </c>
      <c r="R13">
        <v>41686</v>
      </c>
      <c r="S13">
        <v>342055</v>
      </c>
      <c r="T13">
        <v>21847</v>
      </c>
      <c r="U13">
        <v>2429224</v>
      </c>
    </row>
    <row r="14" spans="1:21">
      <c r="A14" s="4">
        <v>2604</v>
      </c>
      <c r="B14" t="s">
        <v>4</v>
      </c>
      <c r="C14" t="s">
        <v>5</v>
      </c>
      <c r="D14">
        <v>1915</v>
      </c>
      <c r="G14" t="s">
        <v>47</v>
      </c>
      <c r="I14">
        <v>242494</v>
      </c>
      <c r="J14">
        <v>76105</v>
      </c>
      <c r="K14">
        <v>4508</v>
      </c>
      <c r="L14">
        <v>104998</v>
      </c>
      <c r="M14">
        <v>314373</v>
      </c>
      <c r="N14">
        <v>139511</v>
      </c>
      <c r="O14">
        <v>5459</v>
      </c>
      <c r="P14">
        <v>824579</v>
      </c>
      <c r="Q14">
        <v>311609</v>
      </c>
      <c r="R14">
        <v>41686</v>
      </c>
      <c r="S14">
        <v>342055</v>
      </c>
      <c r="T14">
        <v>21847</v>
      </c>
      <c r="U14">
        <v>2429224</v>
      </c>
    </row>
    <row r="15" spans="1:21">
      <c r="A15" s="4">
        <v>2604</v>
      </c>
      <c r="B15" t="s">
        <v>4</v>
      </c>
      <c r="C15" t="s">
        <v>17</v>
      </c>
      <c r="D15">
        <v>111</v>
      </c>
      <c r="G15" t="s">
        <v>13</v>
      </c>
      <c r="H15" t="s">
        <v>12</v>
      </c>
      <c r="R15">
        <v>1</v>
      </c>
      <c r="S15">
        <v>34</v>
      </c>
      <c r="T15">
        <v>3</v>
      </c>
      <c r="U15">
        <v>38</v>
      </c>
    </row>
    <row r="16" spans="1:21">
      <c r="A16" s="4">
        <v>2604</v>
      </c>
      <c r="B16" t="s">
        <v>10</v>
      </c>
      <c r="C16" t="s">
        <v>5</v>
      </c>
      <c r="D16">
        <v>104998</v>
      </c>
      <c r="G16"/>
      <c r="H16" t="s">
        <v>8</v>
      </c>
      <c r="Q16">
        <v>97036</v>
      </c>
      <c r="R16">
        <v>68763</v>
      </c>
      <c r="S16">
        <v>104310</v>
      </c>
      <c r="T16">
        <v>123806</v>
      </c>
      <c r="U16">
        <v>393915</v>
      </c>
    </row>
    <row r="17" spans="1:21">
      <c r="A17" s="4">
        <v>2605</v>
      </c>
      <c r="B17" t="s">
        <v>4</v>
      </c>
      <c r="C17" t="s">
        <v>5</v>
      </c>
      <c r="D17">
        <v>816</v>
      </c>
      <c r="G17"/>
      <c r="H17" t="s">
        <v>18</v>
      </c>
      <c r="Q17">
        <v>3118</v>
      </c>
      <c r="R17">
        <v>3502</v>
      </c>
      <c r="S17">
        <v>3079</v>
      </c>
      <c r="T17">
        <v>1790</v>
      </c>
      <c r="U17">
        <v>11489</v>
      </c>
    </row>
    <row r="18" spans="1:21">
      <c r="A18" s="4">
        <v>2605</v>
      </c>
      <c r="B18" t="s">
        <v>4</v>
      </c>
      <c r="C18" t="s">
        <v>16</v>
      </c>
      <c r="D18">
        <v>1</v>
      </c>
      <c r="G18"/>
      <c r="H18" t="s">
        <v>14</v>
      </c>
      <c r="Q18">
        <v>17146</v>
      </c>
      <c r="R18">
        <v>13897</v>
      </c>
      <c r="S18">
        <v>19764</v>
      </c>
      <c r="T18">
        <v>27444</v>
      </c>
      <c r="U18">
        <v>78251</v>
      </c>
    </row>
    <row r="19" spans="1:21">
      <c r="A19" s="4">
        <v>2605</v>
      </c>
      <c r="B19" t="s">
        <v>4</v>
      </c>
      <c r="C19" t="s">
        <v>17</v>
      </c>
      <c r="D19">
        <v>144</v>
      </c>
      <c r="G19"/>
      <c r="H19" t="s">
        <v>19</v>
      </c>
      <c r="Q19">
        <v>3962</v>
      </c>
      <c r="R19">
        <v>4557</v>
      </c>
      <c r="S19">
        <v>2454</v>
      </c>
      <c r="T19">
        <v>2631</v>
      </c>
      <c r="U19">
        <v>13604</v>
      </c>
    </row>
    <row r="20" spans="1:21">
      <c r="A20" s="4">
        <v>2605</v>
      </c>
      <c r="B20" t="s">
        <v>10</v>
      </c>
      <c r="C20" t="s">
        <v>5</v>
      </c>
      <c r="D20">
        <v>314373</v>
      </c>
      <c r="G20"/>
      <c r="H20" t="s">
        <v>20</v>
      </c>
      <c r="Q20">
        <v>3046</v>
      </c>
      <c r="R20">
        <v>3824</v>
      </c>
      <c r="S20">
        <v>3796</v>
      </c>
      <c r="T20">
        <v>3613</v>
      </c>
      <c r="U20">
        <v>14279</v>
      </c>
    </row>
    <row r="21" spans="1:21">
      <c r="A21" s="4">
        <v>2606</v>
      </c>
      <c r="B21" t="s">
        <v>4</v>
      </c>
      <c r="C21" t="s">
        <v>5</v>
      </c>
      <c r="D21">
        <v>532</v>
      </c>
      <c r="G21"/>
      <c r="H21" t="s">
        <v>17</v>
      </c>
      <c r="S21">
        <v>2</v>
      </c>
      <c r="U21">
        <v>2</v>
      </c>
    </row>
    <row r="22" spans="1:21">
      <c r="A22" s="4">
        <v>2606</v>
      </c>
      <c r="B22" t="s">
        <v>4</v>
      </c>
      <c r="C22" t="s">
        <v>17</v>
      </c>
      <c r="D22">
        <v>214</v>
      </c>
      <c r="G22" t="s">
        <v>48</v>
      </c>
      <c r="Q22">
        <v>124308</v>
      </c>
      <c r="R22">
        <v>94544</v>
      </c>
      <c r="S22">
        <v>133439</v>
      </c>
      <c r="T22">
        <v>159287</v>
      </c>
      <c r="U22">
        <v>511578</v>
      </c>
    </row>
    <row r="23" spans="1:21">
      <c r="A23" s="4">
        <v>2606</v>
      </c>
      <c r="B23" t="s">
        <v>10</v>
      </c>
      <c r="C23" t="s">
        <v>5</v>
      </c>
      <c r="D23">
        <v>139511</v>
      </c>
      <c r="G23" t="s">
        <v>22</v>
      </c>
      <c r="I23">
        <v>243150</v>
      </c>
      <c r="J23">
        <v>77423</v>
      </c>
      <c r="K23">
        <v>6293</v>
      </c>
      <c r="L23">
        <v>107024</v>
      </c>
      <c r="M23">
        <v>315334</v>
      </c>
      <c r="N23">
        <v>140257</v>
      </c>
      <c r="O23">
        <v>6910</v>
      </c>
      <c r="P23">
        <v>828423</v>
      </c>
      <c r="Q23">
        <v>702114</v>
      </c>
      <c r="R23">
        <v>397507</v>
      </c>
      <c r="S23">
        <v>750193</v>
      </c>
      <c r="T23">
        <v>332690</v>
      </c>
      <c r="U23">
        <v>3907318</v>
      </c>
    </row>
    <row r="24" spans="1:21">
      <c r="A24" s="4">
        <v>2607</v>
      </c>
      <c r="B24" t="s">
        <v>4</v>
      </c>
      <c r="C24" t="s">
        <v>5</v>
      </c>
      <c r="D24">
        <v>987</v>
      </c>
      <c r="G24"/>
    </row>
    <row r="25" spans="1:21">
      <c r="A25" s="4">
        <v>2607</v>
      </c>
      <c r="B25" t="s">
        <v>4</v>
      </c>
      <c r="C25" t="s">
        <v>14</v>
      </c>
      <c r="D25">
        <v>1</v>
      </c>
      <c r="G25"/>
    </row>
    <row r="26" spans="1:21">
      <c r="A26" s="4">
        <v>2607</v>
      </c>
      <c r="B26" t="s">
        <v>4</v>
      </c>
      <c r="C26" t="s">
        <v>17</v>
      </c>
      <c r="D26">
        <v>463</v>
      </c>
      <c r="G26"/>
    </row>
    <row r="27" spans="1:21">
      <c r="A27" s="4">
        <v>2607</v>
      </c>
      <c r="B27" t="s">
        <v>10</v>
      </c>
      <c r="C27" t="s">
        <v>5</v>
      </c>
      <c r="D27">
        <v>5459</v>
      </c>
      <c r="G27"/>
      <c r="I27" t="s">
        <v>49</v>
      </c>
    </row>
    <row r="28" spans="1:21">
      <c r="A28" s="4">
        <v>2608</v>
      </c>
      <c r="B28" t="s">
        <v>4</v>
      </c>
      <c r="C28" t="s">
        <v>5</v>
      </c>
      <c r="D28">
        <v>3716</v>
      </c>
      <c r="G28"/>
      <c r="I28" t="s">
        <v>50</v>
      </c>
    </row>
    <row r="29" spans="1:21">
      <c r="A29" s="4">
        <v>2608</v>
      </c>
      <c r="B29" t="s">
        <v>4</v>
      </c>
      <c r="C29" t="s">
        <v>17</v>
      </c>
      <c r="D29">
        <v>128</v>
      </c>
      <c r="G29"/>
      <c r="I29" t="s">
        <v>26</v>
      </c>
    </row>
    <row r="30" spans="1:21">
      <c r="A30" s="4">
        <v>2608</v>
      </c>
      <c r="B30" t="s">
        <v>10</v>
      </c>
      <c r="C30" t="s">
        <v>5</v>
      </c>
      <c r="D30">
        <v>824579</v>
      </c>
      <c r="G30"/>
      <c r="I30" t="s">
        <v>51</v>
      </c>
    </row>
    <row r="31" spans="1:21">
      <c r="A31" s="4">
        <v>2609</v>
      </c>
      <c r="B31" t="s">
        <v>4</v>
      </c>
      <c r="C31" t="s">
        <v>5</v>
      </c>
      <c r="D31">
        <v>15104</v>
      </c>
      <c r="G31"/>
      <c r="I31" t="s">
        <v>28</v>
      </c>
    </row>
    <row r="32" spans="1:21">
      <c r="A32" s="4">
        <v>2609</v>
      </c>
      <c r="B32" t="s">
        <v>4</v>
      </c>
      <c r="C32" t="s">
        <v>8</v>
      </c>
      <c r="D32">
        <v>33137</v>
      </c>
      <c r="G32"/>
      <c r="I32" t="s">
        <v>52</v>
      </c>
    </row>
    <row r="33" spans="1:9">
      <c r="A33" s="4">
        <v>2609</v>
      </c>
      <c r="B33" t="s">
        <v>4</v>
      </c>
      <c r="C33" t="s">
        <v>9</v>
      </c>
      <c r="D33">
        <v>10989</v>
      </c>
      <c r="G33"/>
      <c r="I33" t="s">
        <v>53</v>
      </c>
    </row>
    <row r="34" spans="1:9">
      <c r="A34" s="4">
        <v>2609</v>
      </c>
      <c r="B34" t="s">
        <v>4</v>
      </c>
      <c r="C34" t="s">
        <v>11</v>
      </c>
      <c r="D34">
        <v>37760</v>
      </c>
      <c r="I34" t="s">
        <v>54</v>
      </c>
    </row>
    <row r="35" spans="1:9">
      <c r="A35" s="4">
        <v>2609</v>
      </c>
      <c r="B35" t="s">
        <v>4</v>
      </c>
      <c r="C35" t="s">
        <v>14</v>
      </c>
      <c r="D35">
        <v>7337</v>
      </c>
      <c r="I35" t="s">
        <v>55</v>
      </c>
    </row>
    <row r="36" spans="1:9">
      <c r="A36" s="4">
        <v>2609</v>
      </c>
      <c r="B36" t="s">
        <v>4</v>
      </c>
      <c r="C36" t="s">
        <v>15</v>
      </c>
      <c r="D36">
        <v>136507</v>
      </c>
      <c r="I36" t="s">
        <v>56</v>
      </c>
    </row>
    <row r="37" spans="1:9">
      <c r="A37" s="4">
        <v>2609</v>
      </c>
      <c r="B37" t="s">
        <v>4</v>
      </c>
      <c r="C37" t="s">
        <v>16</v>
      </c>
      <c r="D37">
        <v>25269</v>
      </c>
      <c r="I37" t="s">
        <v>57</v>
      </c>
    </row>
    <row r="38" spans="1:9">
      <c r="A38" s="4">
        <v>2609</v>
      </c>
      <c r="B38" t="s">
        <v>4</v>
      </c>
      <c r="C38" t="s">
        <v>17</v>
      </c>
      <c r="D38">
        <v>94</v>
      </c>
      <c r="I38" t="s">
        <v>58</v>
      </c>
    </row>
    <row r="39" spans="1:9">
      <c r="A39" s="4">
        <v>2609</v>
      </c>
      <c r="B39" t="s">
        <v>10</v>
      </c>
      <c r="C39" t="s">
        <v>5</v>
      </c>
      <c r="D39">
        <v>311609</v>
      </c>
      <c r="I39" t="s">
        <v>59</v>
      </c>
    </row>
    <row r="40" spans="1:9">
      <c r="A40" s="4">
        <v>2609</v>
      </c>
      <c r="B40" t="s">
        <v>13</v>
      </c>
      <c r="C40" t="s">
        <v>8</v>
      </c>
      <c r="D40">
        <v>97036</v>
      </c>
      <c r="I40" t="s">
        <v>60</v>
      </c>
    </row>
    <row r="41" spans="1:9">
      <c r="A41" s="4">
        <v>2609</v>
      </c>
      <c r="B41" t="s">
        <v>13</v>
      </c>
      <c r="C41" t="s">
        <v>18</v>
      </c>
      <c r="D41">
        <v>3118</v>
      </c>
      <c r="I41" t="s">
        <v>61</v>
      </c>
    </row>
    <row r="42" spans="1:9">
      <c r="A42" s="4">
        <v>2609</v>
      </c>
      <c r="B42" t="s">
        <v>13</v>
      </c>
      <c r="C42" t="s">
        <v>14</v>
      </c>
      <c r="D42">
        <v>17146</v>
      </c>
      <c r="I42" t="s">
        <v>37</v>
      </c>
    </row>
    <row r="43" spans="1:9">
      <c r="A43" s="4">
        <v>2609</v>
      </c>
      <c r="B43" t="s">
        <v>13</v>
      </c>
      <c r="C43" t="s">
        <v>19</v>
      </c>
      <c r="D43">
        <v>3962</v>
      </c>
      <c r="I43" t="s">
        <v>38</v>
      </c>
    </row>
    <row r="44" spans="1:9">
      <c r="A44" s="4">
        <v>2609</v>
      </c>
      <c r="B44" t="s">
        <v>13</v>
      </c>
      <c r="C44" t="s">
        <v>20</v>
      </c>
      <c r="D44">
        <v>3046</v>
      </c>
      <c r="I44" t="s">
        <v>62</v>
      </c>
    </row>
    <row r="45" spans="1:9">
      <c r="A45" s="4">
        <v>2610</v>
      </c>
      <c r="B45" t="s">
        <v>4</v>
      </c>
      <c r="C45" t="s">
        <v>5</v>
      </c>
      <c r="D45">
        <v>20138</v>
      </c>
      <c r="I45" t="s">
        <v>63</v>
      </c>
    </row>
    <row r="46" spans="1:9">
      <c r="A46" s="4">
        <v>2610</v>
      </c>
      <c r="B46" t="s">
        <v>4</v>
      </c>
      <c r="C46" t="s">
        <v>8</v>
      </c>
      <c r="D46">
        <v>27855</v>
      </c>
      <c r="I46" t="s">
        <v>41</v>
      </c>
    </row>
    <row r="47" spans="1:9">
      <c r="A47" s="4">
        <v>2610</v>
      </c>
      <c r="B47" t="s">
        <v>4</v>
      </c>
      <c r="C47" t="s">
        <v>9</v>
      </c>
      <c r="D47">
        <v>9524</v>
      </c>
      <c r="I47" t="s">
        <v>42</v>
      </c>
    </row>
    <row r="48" spans="1:9">
      <c r="A48" s="4">
        <v>2610</v>
      </c>
      <c r="B48" t="s">
        <v>4</v>
      </c>
      <c r="C48" t="s">
        <v>11</v>
      </c>
      <c r="D48">
        <v>26795</v>
      </c>
      <c r="I48" t="s">
        <v>43</v>
      </c>
    </row>
    <row r="49" spans="1:9">
      <c r="A49" s="4">
        <v>2610</v>
      </c>
      <c r="B49" t="s">
        <v>4</v>
      </c>
      <c r="C49" t="s">
        <v>14</v>
      </c>
      <c r="D49">
        <v>5391</v>
      </c>
      <c r="I49" t="s">
        <v>44</v>
      </c>
    </row>
    <row r="50" spans="1:9">
      <c r="A50" s="4">
        <v>2610</v>
      </c>
      <c r="B50" t="s">
        <v>4</v>
      </c>
      <c r="C50" t="s">
        <v>15</v>
      </c>
      <c r="D50">
        <v>144072</v>
      </c>
    </row>
    <row r="51" spans="1:9">
      <c r="A51" s="4">
        <v>2610</v>
      </c>
      <c r="B51" t="s">
        <v>4</v>
      </c>
      <c r="C51" t="s">
        <v>16</v>
      </c>
      <c r="D51">
        <v>27323</v>
      </c>
    </row>
    <row r="52" spans="1:9">
      <c r="A52" s="4">
        <v>2610</v>
      </c>
      <c r="B52" t="s">
        <v>4</v>
      </c>
      <c r="C52" t="s">
        <v>17</v>
      </c>
      <c r="D52">
        <v>179</v>
      </c>
    </row>
    <row r="53" spans="1:9">
      <c r="A53" s="4">
        <v>2610</v>
      </c>
      <c r="B53" t="s">
        <v>10</v>
      </c>
      <c r="C53" t="s">
        <v>5</v>
      </c>
      <c r="D53">
        <v>41686</v>
      </c>
    </row>
    <row r="54" spans="1:9">
      <c r="A54" s="4">
        <v>2610</v>
      </c>
      <c r="B54" t="s">
        <v>13</v>
      </c>
      <c r="C54" t="s">
        <v>12</v>
      </c>
      <c r="D54">
        <v>1</v>
      </c>
    </row>
    <row r="55" spans="1:9">
      <c r="A55" s="4">
        <v>2610</v>
      </c>
      <c r="B55" t="s">
        <v>13</v>
      </c>
      <c r="C55" t="s">
        <v>8</v>
      </c>
      <c r="D55">
        <v>68763</v>
      </c>
    </row>
    <row r="56" spans="1:9">
      <c r="A56" s="4">
        <v>2610</v>
      </c>
      <c r="B56" t="s">
        <v>13</v>
      </c>
      <c r="C56" t="s">
        <v>18</v>
      </c>
      <c r="D56">
        <v>3502</v>
      </c>
    </row>
    <row r="57" spans="1:9">
      <c r="A57" s="4">
        <v>2610</v>
      </c>
      <c r="B57" t="s">
        <v>13</v>
      </c>
      <c r="C57" t="s">
        <v>14</v>
      </c>
      <c r="D57">
        <v>13897</v>
      </c>
    </row>
    <row r="58" spans="1:9">
      <c r="A58" s="4">
        <v>2610</v>
      </c>
      <c r="B58" t="s">
        <v>13</v>
      </c>
      <c r="C58" t="s">
        <v>19</v>
      </c>
      <c r="D58">
        <v>4557</v>
      </c>
    </row>
    <row r="59" spans="1:9">
      <c r="A59" s="4">
        <v>2610</v>
      </c>
      <c r="B59" t="s">
        <v>13</v>
      </c>
      <c r="C59" t="s">
        <v>20</v>
      </c>
      <c r="D59">
        <v>3824</v>
      </c>
    </row>
    <row r="60" spans="1:9">
      <c r="A60" s="4">
        <v>2611</v>
      </c>
      <c r="B60" t="s">
        <v>4</v>
      </c>
      <c r="C60" t="s">
        <v>5</v>
      </c>
      <c r="D60">
        <v>8085</v>
      </c>
    </row>
    <row r="61" spans="1:9">
      <c r="A61" s="4">
        <v>2611</v>
      </c>
      <c r="B61" t="s">
        <v>4</v>
      </c>
      <c r="C61" t="s">
        <v>8</v>
      </c>
      <c r="D61">
        <v>36603</v>
      </c>
    </row>
    <row r="62" spans="1:9">
      <c r="A62" s="4">
        <v>2611</v>
      </c>
      <c r="B62" t="s">
        <v>4</v>
      </c>
      <c r="C62" t="s">
        <v>9</v>
      </c>
      <c r="D62">
        <v>6195</v>
      </c>
    </row>
    <row r="63" spans="1:9">
      <c r="A63" s="4">
        <v>2611</v>
      </c>
      <c r="B63" t="s">
        <v>4</v>
      </c>
      <c r="C63" t="s">
        <v>11</v>
      </c>
      <c r="D63">
        <v>23856</v>
      </c>
    </row>
    <row r="64" spans="1:9">
      <c r="A64" s="4">
        <v>2611</v>
      </c>
      <c r="B64" t="s">
        <v>4</v>
      </c>
      <c r="C64" t="s">
        <v>14</v>
      </c>
      <c r="D64">
        <v>8196</v>
      </c>
    </row>
    <row r="65" spans="1:4">
      <c r="A65" s="4">
        <v>2611</v>
      </c>
      <c r="B65" t="s">
        <v>4</v>
      </c>
      <c r="C65" t="s">
        <v>15</v>
      </c>
      <c r="D65">
        <v>169733</v>
      </c>
    </row>
    <row r="66" spans="1:4">
      <c r="A66" s="4">
        <v>2611</v>
      </c>
      <c r="B66" t="s">
        <v>4</v>
      </c>
      <c r="C66" t="s">
        <v>16</v>
      </c>
      <c r="D66">
        <v>21776</v>
      </c>
    </row>
    <row r="67" spans="1:4">
      <c r="A67" s="4">
        <v>2611</v>
      </c>
      <c r="B67" t="s">
        <v>4</v>
      </c>
      <c r="C67" t="s">
        <v>17</v>
      </c>
      <c r="D67">
        <v>255</v>
      </c>
    </row>
    <row r="68" spans="1:4">
      <c r="A68" s="4">
        <v>2611</v>
      </c>
      <c r="B68" t="s">
        <v>10</v>
      </c>
      <c r="C68" t="s">
        <v>5</v>
      </c>
      <c r="D68">
        <v>342055</v>
      </c>
    </row>
    <row r="69" spans="1:4">
      <c r="A69" s="4">
        <v>2611</v>
      </c>
      <c r="B69" t="s">
        <v>13</v>
      </c>
      <c r="C69" t="s">
        <v>12</v>
      </c>
      <c r="D69">
        <v>34</v>
      </c>
    </row>
    <row r="70" spans="1:4">
      <c r="A70" s="4">
        <v>2611</v>
      </c>
      <c r="B70" t="s">
        <v>13</v>
      </c>
      <c r="C70" t="s">
        <v>8</v>
      </c>
      <c r="D70">
        <v>104310</v>
      </c>
    </row>
    <row r="71" spans="1:4">
      <c r="A71" s="4">
        <v>2611</v>
      </c>
      <c r="B71" t="s">
        <v>13</v>
      </c>
      <c r="C71" t="s">
        <v>18</v>
      </c>
      <c r="D71">
        <v>3079</v>
      </c>
    </row>
    <row r="72" spans="1:4">
      <c r="A72" s="4">
        <v>2611</v>
      </c>
      <c r="B72" t="s">
        <v>13</v>
      </c>
      <c r="C72" t="s">
        <v>14</v>
      </c>
      <c r="D72">
        <v>19764</v>
      </c>
    </row>
    <row r="73" spans="1:4">
      <c r="A73" s="4">
        <v>2611</v>
      </c>
      <c r="B73" t="s">
        <v>13</v>
      </c>
      <c r="C73" t="s">
        <v>19</v>
      </c>
      <c r="D73">
        <v>2454</v>
      </c>
    </row>
    <row r="74" spans="1:4">
      <c r="A74" s="4">
        <v>2611</v>
      </c>
      <c r="B74" t="s">
        <v>13</v>
      </c>
      <c r="C74" t="s">
        <v>20</v>
      </c>
      <c r="D74">
        <v>3796</v>
      </c>
    </row>
    <row r="75" spans="1:4">
      <c r="A75" s="4">
        <v>2611</v>
      </c>
      <c r="B75" t="s">
        <v>13</v>
      </c>
      <c r="C75" t="s">
        <v>17</v>
      </c>
      <c r="D75">
        <v>2</v>
      </c>
    </row>
    <row r="76" spans="1:4">
      <c r="A76" s="4">
        <v>2612</v>
      </c>
      <c r="B76" t="s">
        <v>4</v>
      </c>
      <c r="C76" t="s">
        <v>5</v>
      </c>
      <c r="D76">
        <v>6644</v>
      </c>
    </row>
    <row r="77" spans="1:4">
      <c r="A77" s="4">
        <v>2612</v>
      </c>
      <c r="B77" t="s">
        <v>4</v>
      </c>
      <c r="C77" t="s">
        <v>8</v>
      </c>
      <c r="D77">
        <v>32234</v>
      </c>
    </row>
    <row r="78" spans="1:4">
      <c r="A78" s="4">
        <v>2612</v>
      </c>
      <c r="B78" t="s">
        <v>4</v>
      </c>
      <c r="C78" t="s">
        <v>9</v>
      </c>
      <c r="D78">
        <v>5836</v>
      </c>
    </row>
    <row r="79" spans="1:4">
      <c r="A79" s="4">
        <v>2612</v>
      </c>
      <c r="B79" t="s">
        <v>4</v>
      </c>
      <c r="C79" t="s">
        <v>11</v>
      </c>
      <c r="D79">
        <v>13178</v>
      </c>
    </row>
    <row r="80" spans="1:4">
      <c r="A80" s="4">
        <v>2612</v>
      </c>
      <c r="B80" t="s">
        <v>4</v>
      </c>
      <c r="C80" t="s">
        <v>14</v>
      </c>
      <c r="D80">
        <v>4975</v>
      </c>
    </row>
    <row r="81" spans="1:4">
      <c r="A81" s="4">
        <v>2612</v>
      </c>
      <c r="B81" t="s">
        <v>4</v>
      </c>
      <c r="C81" t="s">
        <v>15</v>
      </c>
      <c r="D81">
        <v>78441</v>
      </c>
    </row>
    <row r="82" spans="1:4">
      <c r="A82" s="4">
        <v>2612</v>
      </c>
      <c r="B82" t="s">
        <v>4</v>
      </c>
      <c r="C82" t="s">
        <v>16</v>
      </c>
      <c r="D82">
        <v>9480</v>
      </c>
    </row>
    <row r="83" spans="1:4">
      <c r="A83" s="4">
        <v>2612</v>
      </c>
      <c r="B83" t="s">
        <v>4</v>
      </c>
      <c r="C83" t="s">
        <v>17</v>
      </c>
      <c r="D83">
        <v>768</v>
      </c>
    </row>
    <row r="84" spans="1:4">
      <c r="A84" s="4">
        <v>2612</v>
      </c>
      <c r="B84" t="s">
        <v>10</v>
      </c>
      <c r="C84" t="s">
        <v>5</v>
      </c>
      <c r="D84">
        <v>21847</v>
      </c>
    </row>
    <row r="85" spans="1:4">
      <c r="A85" s="4">
        <v>2612</v>
      </c>
      <c r="B85" t="s">
        <v>13</v>
      </c>
      <c r="C85" t="s">
        <v>12</v>
      </c>
      <c r="D85">
        <v>3</v>
      </c>
    </row>
    <row r="86" spans="1:4">
      <c r="A86" s="4">
        <v>2612</v>
      </c>
      <c r="B86" t="s">
        <v>13</v>
      </c>
      <c r="C86" t="s">
        <v>8</v>
      </c>
      <c r="D86">
        <v>123806</v>
      </c>
    </row>
    <row r="87" spans="1:4">
      <c r="A87" s="4">
        <v>2612</v>
      </c>
      <c r="B87" t="s">
        <v>13</v>
      </c>
      <c r="C87" t="s">
        <v>18</v>
      </c>
      <c r="D87">
        <v>1790</v>
      </c>
    </row>
    <row r="88" spans="1:4">
      <c r="A88" s="4">
        <v>2612</v>
      </c>
      <c r="B88" t="s">
        <v>13</v>
      </c>
      <c r="C88" t="s">
        <v>14</v>
      </c>
      <c r="D88">
        <v>27444</v>
      </c>
    </row>
    <row r="89" spans="1:4">
      <c r="A89" s="4">
        <v>2612</v>
      </c>
      <c r="B89" t="s">
        <v>13</v>
      </c>
      <c r="C89" t="s">
        <v>19</v>
      </c>
      <c r="D89">
        <v>2631</v>
      </c>
    </row>
    <row r="90" spans="1:4">
      <c r="A90" s="4">
        <v>2612</v>
      </c>
      <c r="B90" t="s">
        <v>13</v>
      </c>
      <c r="C90" t="s">
        <v>20</v>
      </c>
      <c r="D90">
        <v>3613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2346-AA2F-431E-911C-62AC35F0E727}">
  <dimension ref="A1:D191"/>
  <sheetViews>
    <sheetView workbookViewId="0">
      <selection sqref="A1:D191"/>
    </sheetView>
  </sheetViews>
  <sheetFormatPr defaultRowHeight="15"/>
  <cols>
    <col min="1" max="1" width="9.85546875" bestFit="1" customWidth="1"/>
    <col min="2" max="2" width="14.42578125" bestFit="1" customWidth="1"/>
    <col min="3" max="3" width="27.42578125" bestFit="1" customWidth="1"/>
    <col min="4" max="4" width="12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20251231</v>
      </c>
      <c r="B2" t="s">
        <v>4</v>
      </c>
      <c r="C2" t="s">
        <v>5</v>
      </c>
      <c r="D2">
        <v>1675863</v>
      </c>
    </row>
    <row r="3" spans="1:4">
      <c r="A3">
        <v>20251231</v>
      </c>
      <c r="B3" t="s">
        <v>4</v>
      </c>
      <c r="C3" t="s">
        <v>7</v>
      </c>
      <c r="D3">
        <v>84965</v>
      </c>
    </row>
    <row r="4" spans="1:4">
      <c r="A4">
        <v>20251231</v>
      </c>
      <c r="B4" t="s">
        <v>4</v>
      </c>
      <c r="C4" t="s">
        <v>8</v>
      </c>
      <c r="D4">
        <v>1766056</v>
      </c>
    </row>
    <row r="5" spans="1:4">
      <c r="A5">
        <v>20251231</v>
      </c>
      <c r="B5" t="s">
        <v>4</v>
      </c>
      <c r="C5" t="s">
        <v>9</v>
      </c>
      <c r="D5">
        <v>156454</v>
      </c>
    </row>
    <row r="6" spans="1:4">
      <c r="A6">
        <v>20251231</v>
      </c>
      <c r="B6" t="s">
        <v>4</v>
      </c>
      <c r="C6" t="s">
        <v>11</v>
      </c>
      <c r="D6">
        <v>939590</v>
      </c>
    </row>
    <row r="7" spans="1:4">
      <c r="A7">
        <v>20251231</v>
      </c>
      <c r="B7" t="s">
        <v>4</v>
      </c>
      <c r="C7" t="s">
        <v>14</v>
      </c>
      <c r="D7">
        <v>381769</v>
      </c>
    </row>
    <row r="8" spans="1:4">
      <c r="A8">
        <v>20251231</v>
      </c>
      <c r="B8" t="s">
        <v>4</v>
      </c>
      <c r="C8" t="s">
        <v>15</v>
      </c>
      <c r="D8">
        <v>8089185</v>
      </c>
    </row>
    <row r="9" spans="1:4">
      <c r="A9">
        <v>20251231</v>
      </c>
      <c r="B9" t="s">
        <v>4</v>
      </c>
      <c r="C9" t="s">
        <v>16</v>
      </c>
      <c r="D9">
        <v>485347</v>
      </c>
    </row>
    <row r="10" spans="1:4">
      <c r="A10">
        <v>20251231</v>
      </c>
      <c r="B10" t="s">
        <v>4</v>
      </c>
      <c r="C10" t="s">
        <v>17</v>
      </c>
      <c r="D10">
        <v>33035</v>
      </c>
    </row>
    <row r="11" spans="1:4">
      <c r="A11">
        <v>20251231</v>
      </c>
      <c r="B11" t="s">
        <v>10</v>
      </c>
      <c r="C11" t="s">
        <v>5</v>
      </c>
      <c r="D11">
        <v>8972509</v>
      </c>
    </row>
    <row r="12" spans="1:4">
      <c r="A12">
        <v>20251231</v>
      </c>
      <c r="B12" t="s">
        <v>13</v>
      </c>
      <c r="C12" t="s">
        <v>12</v>
      </c>
      <c r="D12">
        <v>2218</v>
      </c>
    </row>
    <row r="13" spans="1:4">
      <c r="A13">
        <v>20251231</v>
      </c>
      <c r="B13" t="s">
        <v>13</v>
      </c>
      <c r="C13" t="s">
        <v>8</v>
      </c>
      <c r="D13">
        <v>7891770</v>
      </c>
    </row>
    <row r="14" spans="1:4">
      <c r="A14">
        <v>20251231</v>
      </c>
      <c r="B14" t="s">
        <v>13</v>
      </c>
      <c r="C14" t="s">
        <v>18</v>
      </c>
      <c r="D14">
        <v>135703</v>
      </c>
    </row>
    <row r="15" spans="1:4">
      <c r="A15">
        <v>20251231</v>
      </c>
      <c r="B15" t="s">
        <v>13</v>
      </c>
      <c r="C15" t="s">
        <v>14</v>
      </c>
      <c r="D15">
        <v>2907140</v>
      </c>
    </row>
    <row r="16" spans="1:4">
      <c r="A16">
        <v>20251231</v>
      </c>
      <c r="B16" t="s">
        <v>13</v>
      </c>
      <c r="C16" t="s">
        <v>19</v>
      </c>
      <c r="D16">
        <v>197174</v>
      </c>
    </row>
    <row r="17" spans="1:4">
      <c r="A17">
        <v>20251231</v>
      </c>
      <c r="B17" t="s">
        <v>13</v>
      </c>
      <c r="C17" t="s">
        <v>20</v>
      </c>
      <c r="D17">
        <v>92320</v>
      </c>
    </row>
    <row r="18" spans="1:4">
      <c r="A18">
        <v>20251231</v>
      </c>
      <c r="B18" t="s">
        <v>13</v>
      </c>
      <c r="C18" t="s">
        <v>15</v>
      </c>
      <c r="D18">
        <v>4</v>
      </c>
    </row>
    <row r="19" spans="1:4">
      <c r="A19">
        <v>20251231</v>
      </c>
      <c r="B19" t="s">
        <v>13</v>
      </c>
      <c r="C19" t="s">
        <v>21</v>
      </c>
      <c r="D19">
        <v>956680</v>
      </c>
    </row>
    <row r="20" spans="1:4">
      <c r="A20">
        <v>20251231</v>
      </c>
      <c r="B20" t="s">
        <v>13</v>
      </c>
      <c r="C20" t="s">
        <v>17</v>
      </c>
      <c r="D20">
        <v>6</v>
      </c>
    </row>
    <row r="21" spans="1:4">
      <c r="A21">
        <v>20260131</v>
      </c>
      <c r="B21" t="s">
        <v>4</v>
      </c>
      <c r="C21" t="s">
        <v>5</v>
      </c>
      <c r="D21">
        <v>1676583</v>
      </c>
    </row>
    <row r="22" spans="1:4">
      <c r="A22">
        <v>20260131</v>
      </c>
      <c r="B22" t="s">
        <v>4</v>
      </c>
      <c r="C22" t="s">
        <v>7</v>
      </c>
      <c r="D22">
        <v>85007</v>
      </c>
    </row>
    <row r="23" spans="1:4">
      <c r="A23">
        <v>20260131</v>
      </c>
      <c r="B23" t="s">
        <v>4</v>
      </c>
      <c r="C23" t="s">
        <v>8</v>
      </c>
      <c r="D23">
        <v>1831763</v>
      </c>
    </row>
    <row r="24" spans="1:4">
      <c r="A24">
        <v>20260131</v>
      </c>
      <c r="B24" t="s">
        <v>4</v>
      </c>
      <c r="C24" t="s">
        <v>9</v>
      </c>
      <c r="D24">
        <v>157883</v>
      </c>
    </row>
    <row r="25" spans="1:4">
      <c r="A25">
        <v>20260131</v>
      </c>
      <c r="B25" t="s">
        <v>4</v>
      </c>
      <c r="C25" t="s">
        <v>11</v>
      </c>
      <c r="D25">
        <v>910590</v>
      </c>
    </row>
    <row r="26" spans="1:4">
      <c r="A26">
        <v>20260131</v>
      </c>
      <c r="B26" t="s">
        <v>4</v>
      </c>
      <c r="C26" t="s">
        <v>14</v>
      </c>
      <c r="D26">
        <v>390635</v>
      </c>
    </row>
    <row r="27" spans="1:4">
      <c r="A27">
        <v>20260131</v>
      </c>
      <c r="B27" t="s">
        <v>4</v>
      </c>
      <c r="C27" t="s">
        <v>15</v>
      </c>
      <c r="D27">
        <v>8165506</v>
      </c>
    </row>
    <row r="28" spans="1:4">
      <c r="A28">
        <v>20260131</v>
      </c>
      <c r="B28" t="s">
        <v>4</v>
      </c>
      <c r="C28" t="s">
        <v>16</v>
      </c>
      <c r="D28">
        <v>497283</v>
      </c>
    </row>
    <row r="29" spans="1:4">
      <c r="A29">
        <v>20260131</v>
      </c>
      <c r="B29" t="s">
        <v>4</v>
      </c>
      <c r="C29" t="s">
        <v>17</v>
      </c>
      <c r="D29">
        <v>33335</v>
      </c>
    </row>
    <row r="30" spans="1:4">
      <c r="A30">
        <v>20260131</v>
      </c>
      <c r="B30" t="s">
        <v>10</v>
      </c>
      <c r="C30" t="s">
        <v>5</v>
      </c>
      <c r="D30">
        <v>8967941</v>
      </c>
    </row>
    <row r="31" spans="1:4">
      <c r="A31">
        <v>20260131</v>
      </c>
      <c r="B31" t="s">
        <v>13</v>
      </c>
      <c r="C31" t="s">
        <v>12</v>
      </c>
      <c r="D31">
        <v>2404</v>
      </c>
    </row>
    <row r="32" spans="1:4">
      <c r="A32">
        <v>20260131</v>
      </c>
      <c r="B32" t="s">
        <v>13</v>
      </c>
      <c r="C32" t="s">
        <v>8</v>
      </c>
      <c r="D32">
        <v>7979604</v>
      </c>
    </row>
    <row r="33" spans="1:4">
      <c r="A33">
        <v>20260131</v>
      </c>
      <c r="B33" t="s">
        <v>13</v>
      </c>
      <c r="C33" t="s">
        <v>18</v>
      </c>
      <c r="D33">
        <v>136749</v>
      </c>
    </row>
    <row r="34" spans="1:4">
      <c r="A34">
        <v>20260131</v>
      </c>
      <c r="B34" t="s">
        <v>13</v>
      </c>
      <c r="C34" t="s">
        <v>14</v>
      </c>
      <c r="D34">
        <v>3008912</v>
      </c>
    </row>
    <row r="35" spans="1:4">
      <c r="A35">
        <v>20260131</v>
      </c>
      <c r="B35" t="s">
        <v>13</v>
      </c>
      <c r="C35" t="s">
        <v>19</v>
      </c>
      <c r="D35">
        <v>199536</v>
      </c>
    </row>
    <row r="36" spans="1:4">
      <c r="A36">
        <v>20260131</v>
      </c>
      <c r="B36" t="s">
        <v>13</v>
      </c>
      <c r="C36" t="s">
        <v>20</v>
      </c>
      <c r="D36">
        <v>95005</v>
      </c>
    </row>
    <row r="37" spans="1:4">
      <c r="A37">
        <v>20260131</v>
      </c>
      <c r="B37" t="s">
        <v>13</v>
      </c>
      <c r="C37" t="s">
        <v>15</v>
      </c>
      <c r="D37">
        <v>4</v>
      </c>
    </row>
    <row r="38" spans="1:4">
      <c r="A38">
        <v>20260131</v>
      </c>
      <c r="B38" t="s">
        <v>13</v>
      </c>
      <c r="C38" t="s">
        <v>21</v>
      </c>
      <c r="D38">
        <v>973506</v>
      </c>
    </row>
    <row r="39" spans="1:4">
      <c r="A39">
        <v>20260131</v>
      </c>
      <c r="B39" t="s">
        <v>13</v>
      </c>
      <c r="C39" t="s">
        <v>17</v>
      </c>
      <c r="D39">
        <v>6</v>
      </c>
    </row>
    <row r="40" spans="1:4">
      <c r="A40">
        <v>20260228</v>
      </c>
      <c r="B40" t="s">
        <v>4</v>
      </c>
      <c r="C40" t="s">
        <v>5</v>
      </c>
      <c r="D40">
        <v>1683706</v>
      </c>
    </row>
    <row r="41" spans="1:4">
      <c r="A41">
        <v>20260228</v>
      </c>
      <c r="B41" t="s">
        <v>4</v>
      </c>
      <c r="C41" t="s">
        <v>7</v>
      </c>
      <c r="D41">
        <v>85007</v>
      </c>
    </row>
    <row r="42" spans="1:4">
      <c r="A42">
        <v>20260228</v>
      </c>
      <c r="B42" t="s">
        <v>4</v>
      </c>
      <c r="C42" t="s">
        <v>8</v>
      </c>
      <c r="D42">
        <v>1868819</v>
      </c>
    </row>
    <row r="43" spans="1:4">
      <c r="A43">
        <v>20260228</v>
      </c>
      <c r="B43" t="s">
        <v>4</v>
      </c>
      <c r="C43" t="s">
        <v>9</v>
      </c>
      <c r="D43">
        <v>157638</v>
      </c>
    </row>
    <row r="44" spans="1:4">
      <c r="A44">
        <v>20260228</v>
      </c>
      <c r="B44" t="s">
        <v>4</v>
      </c>
      <c r="C44" t="s">
        <v>11</v>
      </c>
      <c r="D44">
        <v>875967</v>
      </c>
    </row>
    <row r="45" spans="1:4">
      <c r="A45">
        <v>20260228</v>
      </c>
      <c r="B45" t="s">
        <v>4</v>
      </c>
      <c r="C45" t="s">
        <v>14</v>
      </c>
      <c r="D45">
        <v>392037</v>
      </c>
    </row>
    <row r="46" spans="1:4">
      <c r="A46">
        <v>20260228</v>
      </c>
      <c r="B46" t="s">
        <v>4</v>
      </c>
      <c r="C46" t="s">
        <v>15</v>
      </c>
      <c r="D46">
        <v>8167114</v>
      </c>
    </row>
    <row r="47" spans="1:4">
      <c r="A47">
        <v>20260228</v>
      </c>
      <c r="B47" t="s">
        <v>4</v>
      </c>
      <c r="C47" t="s">
        <v>16</v>
      </c>
      <c r="D47">
        <v>504411</v>
      </c>
    </row>
    <row r="48" spans="1:4">
      <c r="A48">
        <v>20260228</v>
      </c>
      <c r="B48" t="s">
        <v>4</v>
      </c>
      <c r="C48" t="s">
        <v>17</v>
      </c>
      <c r="D48">
        <v>34116</v>
      </c>
    </row>
    <row r="49" spans="1:4">
      <c r="A49">
        <v>20260228</v>
      </c>
      <c r="B49" t="s">
        <v>10</v>
      </c>
      <c r="C49" t="s">
        <v>5</v>
      </c>
      <c r="D49">
        <v>8959878</v>
      </c>
    </row>
    <row r="50" spans="1:4">
      <c r="A50">
        <v>20260228</v>
      </c>
      <c r="B50" t="s">
        <v>13</v>
      </c>
      <c r="C50" t="s">
        <v>12</v>
      </c>
      <c r="D50">
        <v>3481</v>
      </c>
    </row>
    <row r="51" spans="1:4">
      <c r="A51">
        <v>20260228</v>
      </c>
      <c r="B51" t="s">
        <v>13</v>
      </c>
      <c r="C51" t="s">
        <v>8</v>
      </c>
      <c r="D51">
        <v>7992509</v>
      </c>
    </row>
    <row r="52" spans="1:4">
      <c r="A52">
        <v>20260228</v>
      </c>
      <c r="B52" t="s">
        <v>13</v>
      </c>
      <c r="C52" t="s">
        <v>18</v>
      </c>
      <c r="D52">
        <v>137319</v>
      </c>
    </row>
    <row r="53" spans="1:4">
      <c r="A53">
        <v>20260228</v>
      </c>
      <c r="B53" t="s">
        <v>13</v>
      </c>
      <c r="C53" t="s">
        <v>14</v>
      </c>
      <c r="D53">
        <v>3056963</v>
      </c>
    </row>
    <row r="54" spans="1:4">
      <c r="A54">
        <v>20260228</v>
      </c>
      <c r="B54" t="s">
        <v>13</v>
      </c>
      <c r="C54" t="s">
        <v>19</v>
      </c>
      <c r="D54">
        <v>200959</v>
      </c>
    </row>
    <row r="55" spans="1:4">
      <c r="A55">
        <v>20260228</v>
      </c>
      <c r="B55" t="s">
        <v>13</v>
      </c>
      <c r="C55" t="s">
        <v>20</v>
      </c>
      <c r="D55">
        <v>97907</v>
      </c>
    </row>
    <row r="56" spans="1:4">
      <c r="A56">
        <v>20260228</v>
      </c>
      <c r="B56" t="s">
        <v>13</v>
      </c>
      <c r="C56" t="s">
        <v>15</v>
      </c>
      <c r="D56">
        <v>4</v>
      </c>
    </row>
    <row r="57" spans="1:4">
      <c r="A57">
        <v>20260228</v>
      </c>
      <c r="B57" t="s">
        <v>13</v>
      </c>
      <c r="C57" t="s">
        <v>21</v>
      </c>
      <c r="D57">
        <v>987364</v>
      </c>
    </row>
    <row r="58" spans="1:4">
      <c r="A58">
        <v>20260228</v>
      </c>
      <c r="B58" t="s">
        <v>13</v>
      </c>
      <c r="C58" t="s">
        <v>17</v>
      </c>
      <c r="D58">
        <v>6</v>
      </c>
    </row>
    <row r="59" spans="1:4">
      <c r="A59">
        <v>20260331</v>
      </c>
      <c r="B59" t="s">
        <v>4</v>
      </c>
      <c r="C59" t="s">
        <v>5</v>
      </c>
      <c r="D59">
        <v>1833996</v>
      </c>
    </row>
    <row r="60" spans="1:4">
      <c r="A60">
        <v>20260331</v>
      </c>
      <c r="B60" t="s">
        <v>4</v>
      </c>
      <c r="C60" t="s">
        <v>7</v>
      </c>
      <c r="D60">
        <v>85614</v>
      </c>
    </row>
    <row r="61" spans="1:4">
      <c r="A61">
        <v>20260331</v>
      </c>
      <c r="B61" t="s">
        <v>4</v>
      </c>
      <c r="C61" t="s">
        <v>8</v>
      </c>
      <c r="D61">
        <v>1902453</v>
      </c>
    </row>
    <row r="62" spans="1:4">
      <c r="A62">
        <v>20260331</v>
      </c>
      <c r="B62" t="s">
        <v>4</v>
      </c>
      <c r="C62" t="s">
        <v>9</v>
      </c>
      <c r="D62">
        <v>154209</v>
      </c>
    </row>
    <row r="63" spans="1:4">
      <c r="A63">
        <v>20260331</v>
      </c>
      <c r="B63" t="s">
        <v>4</v>
      </c>
      <c r="C63" t="s">
        <v>11</v>
      </c>
      <c r="D63">
        <v>822455</v>
      </c>
    </row>
    <row r="64" spans="1:4">
      <c r="A64">
        <v>20260331</v>
      </c>
      <c r="B64" t="s">
        <v>4</v>
      </c>
      <c r="C64" t="s">
        <v>14</v>
      </c>
      <c r="D64">
        <v>397084</v>
      </c>
    </row>
    <row r="65" spans="1:4">
      <c r="A65">
        <v>20260331</v>
      </c>
      <c r="B65" t="s">
        <v>4</v>
      </c>
      <c r="C65" t="s">
        <v>15</v>
      </c>
      <c r="D65">
        <v>8126421</v>
      </c>
    </row>
    <row r="66" spans="1:4">
      <c r="A66">
        <v>20260331</v>
      </c>
      <c r="B66" t="s">
        <v>4</v>
      </c>
      <c r="C66" t="s">
        <v>16</v>
      </c>
      <c r="D66">
        <v>503369</v>
      </c>
    </row>
    <row r="67" spans="1:4">
      <c r="A67">
        <v>20260331</v>
      </c>
      <c r="B67" t="s">
        <v>4</v>
      </c>
      <c r="C67" t="s">
        <v>17</v>
      </c>
      <c r="D67">
        <v>34494</v>
      </c>
    </row>
    <row r="68" spans="1:4">
      <c r="A68">
        <v>20260331</v>
      </c>
      <c r="B68" t="s">
        <v>10</v>
      </c>
      <c r="C68" t="s">
        <v>5</v>
      </c>
      <c r="D68">
        <v>8957297</v>
      </c>
    </row>
    <row r="69" spans="1:4">
      <c r="A69">
        <v>20260331</v>
      </c>
      <c r="B69" t="s">
        <v>13</v>
      </c>
      <c r="C69" t="s">
        <v>12</v>
      </c>
      <c r="D69">
        <v>3510</v>
      </c>
    </row>
    <row r="70" spans="1:4">
      <c r="A70">
        <v>20260331</v>
      </c>
      <c r="B70" t="s">
        <v>13</v>
      </c>
      <c r="C70" t="s">
        <v>8</v>
      </c>
      <c r="D70">
        <v>7965350</v>
      </c>
    </row>
    <row r="71" spans="1:4">
      <c r="A71">
        <v>20260331</v>
      </c>
      <c r="B71" t="s">
        <v>13</v>
      </c>
      <c r="C71" t="s">
        <v>18</v>
      </c>
      <c r="D71">
        <v>135872</v>
      </c>
    </row>
    <row r="72" spans="1:4">
      <c r="A72">
        <v>20260331</v>
      </c>
      <c r="B72" t="s">
        <v>13</v>
      </c>
      <c r="C72" t="s">
        <v>14</v>
      </c>
      <c r="D72">
        <v>3116127</v>
      </c>
    </row>
    <row r="73" spans="1:4">
      <c r="A73">
        <v>20260331</v>
      </c>
      <c r="B73" t="s">
        <v>13</v>
      </c>
      <c r="C73" t="s">
        <v>19</v>
      </c>
      <c r="D73">
        <v>199710</v>
      </c>
    </row>
    <row r="74" spans="1:4">
      <c r="A74">
        <v>20260331</v>
      </c>
      <c r="B74" t="s">
        <v>13</v>
      </c>
      <c r="C74" t="s">
        <v>20</v>
      </c>
      <c r="D74">
        <v>98171</v>
      </c>
    </row>
    <row r="75" spans="1:4">
      <c r="A75">
        <v>20260331</v>
      </c>
      <c r="B75" t="s">
        <v>13</v>
      </c>
      <c r="C75" t="s">
        <v>15</v>
      </c>
      <c r="D75">
        <v>4</v>
      </c>
    </row>
    <row r="76" spans="1:4">
      <c r="A76">
        <v>20260331</v>
      </c>
      <c r="B76" t="s">
        <v>13</v>
      </c>
      <c r="C76" t="s">
        <v>21</v>
      </c>
      <c r="D76">
        <v>1000395</v>
      </c>
    </row>
    <row r="77" spans="1:4">
      <c r="A77">
        <v>20260331</v>
      </c>
      <c r="B77" t="s">
        <v>13</v>
      </c>
      <c r="C77" t="s">
        <v>17</v>
      </c>
      <c r="D77">
        <v>6</v>
      </c>
    </row>
    <row r="78" spans="1:4">
      <c r="A78">
        <v>20260430</v>
      </c>
      <c r="B78" t="s">
        <v>4</v>
      </c>
      <c r="C78" t="s">
        <v>5</v>
      </c>
      <c r="D78">
        <v>1848686</v>
      </c>
    </row>
    <row r="79" spans="1:4">
      <c r="A79">
        <v>20260430</v>
      </c>
      <c r="B79" t="s">
        <v>4</v>
      </c>
      <c r="C79" t="s">
        <v>7</v>
      </c>
      <c r="D79">
        <v>86308</v>
      </c>
    </row>
    <row r="80" spans="1:4">
      <c r="A80">
        <v>20260430</v>
      </c>
      <c r="B80" t="s">
        <v>4</v>
      </c>
      <c r="C80" t="s">
        <v>8</v>
      </c>
      <c r="D80">
        <v>1935137</v>
      </c>
    </row>
    <row r="81" spans="1:4">
      <c r="A81">
        <v>20260430</v>
      </c>
      <c r="B81" t="s">
        <v>4</v>
      </c>
      <c r="C81" t="s">
        <v>9</v>
      </c>
      <c r="D81">
        <v>149766</v>
      </c>
    </row>
    <row r="82" spans="1:4">
      <c r="A82">
        <v>20260430</v>
      </c>
      <c r="B82" t="s">
        <v>4</v>
      </c>
      <c r="C82" t="s">
        <v>11</v>
      </c>
      <c r="D82">
        <v>763588</v>
      </c>
    </row>
    <row r="83" spans="1:4">
      <c r="A83">
        <v>20260430</v>
      </c>
      <c r="B83" t="s">
        <v>4</v>
      </c>
      <c r="C83" t="s">
        <v>14</v>
      </c>
      <c r="D83">
        <v>399656</v>
      </c>
    </row>
    <row r="84" spans="1:4">
      <c r="A84">
        <v>20260430</v>
      </c>
      <c r="B84" t="s">
        <v>4</v>
      </c>
      <c r="C84" t="s">
        <v>15</v>
      </c>
      <c r="D84">
        <v>8152902</v>
      </c>
    </row>
    <row r="85" spans="1:4">
      <c r="A85">
        <v>20260430</v>
      </c>
      <c r="B85" t="s">
        <v>4</v>
      </c>
      <c r="C85" t="s">
        <v>16</v>
      </c>
      <c r="D85">
        <v>516505</v>
      </c>
    </row>
    <row r="86" spans="1:4">
      <c r="A86">
        <v>20260430</v>
      </c>
      <c r="B86" t="s">
        <v>4</v>
      </c>
      <c r="C86" t="s">
        <v>17</v>
      </c>
      <c r="D86">
        <v>34593</v>
      </c>
    </row>
    <row r="87" spans="1:4">
      <c r="A87">
        <v>20260430</v>
      </c>
      <c r="B87" t="s">
        <v>10</v>
      </c>
      <c r="C87" t="s">
        <v>5</v>
      </c>
      <c r="D87">
        <v>8953067</v>
      </c>
    </row>
    <row r="88" spans="1:4">
      <c r="A88">
        <v>20260430</v>
      </c>
      <c r="B88" t="s">
        <v>13</v>
      </c>
      <c r="C88" t="s">
        <v>12</v>
      </c>
      <c r="D88">
        <v>3584</v>
      </c>
    </row>
    <row r="89" spans="1:4">
      <c r="A89">
        <v>20260430</v>
      </c>
      <c r="B89" t="s">
        <v>13</v>
      </c>
      <c r="C89" t="s">
        <v>8</v>
      </c>
      <c r="D89">
        <v>7943863</v>
      </c>
    </row>
    <row r="90" spans="1:4">
      <c r="A90">
        <v>20260430</v>
      </c>
      <c r="B90" t="s">
        <v>13</v>
      </c>
      <c r="C90" t="s">
        <v>18</v>
      </c>
      <c r="D90">
        <v>134657</v>
      </c>
    </row>
    <row r="91" spans="1:4">
      <c r="A91">
        <v>20260430</v>
      </c>
      <c r="B91" t="s">
        <v>13</v>
      </c>
      <c r="C91" t="s">
        <v>14</v>
      </c>
      <c r="D91">
        <v>3168295</v>
      </c>
    </row>
    <row r="92" spans="1:4">
      <c r="A92">
        <v>20260430</v>
      </c>
      <c r="B92" t="s">
        <v>13</v>
      </c>
      <c r="C92" t="s">
        <v>19</v>
      </c>
      <c r="D92">
        <v>200111</v>
      </c>
    </row>
    <row r="93" spans="1:4">
      <c r="A93">
        <v>20260430</v>
      </c>
      <c r="B93" t="s">
        <v>13</v>
      </c>
      <c r="C93" t="s">
        <v>20</v>
      </c>
      <c r="D93">
        <v>100451</v>
      </c>
    </row>
    <row r="94" spans="1:4">
      <c r="A94">
        <v>20260430</v>
      </c>
      <c r="B94" t="s">
        <v>13</v>
      </c>
      <c r="C94" t="s">
        <v>15</v>
      </c>
      <c r="D94">
        <v>3</v>
      </c>
    </row>
    <row r="95" spans="1:4">
      <c r="A95">
        <v>20260430</v>
      </c>
      <c r="B95" t="s">
        <v>13</v>
      </c>
      <c r="C95" t="s">
        <v>21</v>
      </c>
      <c r="D95">
        <v>1012751</v>
      </c>
    </row>
    <row r="96" spans="1:4">
      <c r="A96">
        <v>20260430</v>
      </c>
      <c r="B96" t="s">
        <v>13</v>
      </c>
      <c r="C96" t="s">
        <v>17</v>
      </c>
      <c r="D96">
        <v>6</v>
      </c>
    </row>
    <row r="97" spans="1:4">
      <c r="A97">
        <v>20260531</v>
      </c>
      <c r="B97" t="s">
        <v>4</v>
      </c>
      <c r="C97" t="s">
        <v>5</v>
      </c>
      <c r="D97">
        <v>1853261</v>
      </c>
    </row>
    <row r="98" spans="1:4">
      <c r="A98">
        <v>20260531</v>
      </c>
      <c r="B98" t="s">
        <v>4</v>
      </c>
      <c r="C98" t="s">
        <v>7</v>
      </c>
      <c r="D98">
        <v>86171</v>
      </c>
    </row>
    <row r="99" spans="1:4">
      <c r="A99">
        <v>20260531</v>
      </c>
      <c r="B99" t="s">
        <v>4</v>
      </c>
      <c r="C99" t="s">
        <v>8</v>
      </c>
      <c r="D99">
        <v>1950513</v>
      </c>
    </row>
    <row r="100" spans="1:4">
      <c r="A100">
        <v>20260531</v>
      </c>
      <c r="B100" t="s">
        <v>4</v>
      </c>
      <c r="C100" t="s">
        <v>9</v>
      </c>
      <c r="D100">
        <v>146676</v>
      </c>
    </row>
    <row r="101" spans="1:4">
      <c r="A101">
        <v>20260531</v>
      </c>
      <c r="B101" t="s">
        <v>4</v>
      </c>
      <c r="C101" t="s">
        <v>11</v>
      </c>
      <c r="D101">
        <v>705867</v>
      </c>
    </row>
    <row r="102" spans="1:4">
      <c r="A102">
        <v>20260531</v>
      </c>
      <c r="B102" t="s">
        <v>4</v>
      </c>
      <c r="C102" t="s">
        <v>14</v>
      </c>
      <c r="D102">
        <v>397555</v>
      </c>
    </row>
    <row r="103" spans="1:4">
      <c r="A103">
        <v>20260531</v>
      </c>
      <c r="B103" t="s">
        <v>4</v>
      </c>
      <c r="C103" t="s">
        <v>15</v>
      </c>
      <c r="D103">
        <v>8091536</v>
      </c>
    </row>
    <row r="104" spans="1:4">
      <c r="A104">
        <v>20260531</v>
      </c>
      <c r="B104" t="s">
        <v>4</v>
      </c>
      <c r="C104" t="s">
        <v>16</v>
      </c>
      <c r="D104">
        <v>529041</v>
      </c>
    </row>
    <row r="105" spans="1:4">
      <c r="A105">
        <v>20260531</v>
      </c>
      <c r="B105" t="s">
        <v>4</v>
      </c>
      <c r="C105" t="s">
        <v>17</v>
      </c>
      <c r="D105">
        <v>34949</v>
      </c>
    </row>
    <row r="106" spans="1:4">
      <c r="A106">
        <v>20260531</v>
      </c>
      <c r="B106" t="s">
        <v>10</v>
      </c>
      <c r="C106" t="s">
        <v>5</v>
      </c>
      <c r="D106">
        <v>8945691</v>
      </c>
    </row>
    <row r="107" spans="1:4">
      <c r="A107">
        <v>20260531</v>
      </c>
      <c r="B107" t="s">
        <v>13</v>
      </c>
      <c r="C107" t="s">
        <v>12</v>
      </c>
      <c r="D107">
        <v>3602</v>
      </c>
    </row>
    <row r="108" spans="1:4">
      <c r="A108">
        <v>20260531</v>
      </c>
      <c r="B108" t="s">
        <v>13</v>
      </c>
      <c r="C108" t="s">
        <v>8</v>
      </c>
      <c r="D108">
        <v>7870817</v>
      </c>
    </row>
    <row r="109" spans="1:4">
      <c r="A109">
        <v>20260531</v>
      </c>
      <c r="B109" t="s">
        <v>13</v>
      </c>
      <c r="C109" t="s">
        <v>18</v>
      </c>
      <c r="D109">
        <v>132895</v>
      </c>
    </row>
    <row r="110" spans="1:4">
      <c r="A110">
        <v>20260531</v>
      </c>
      <c r="B110" t="s">
        <v>13</v>
      </c>
      <c r="C110" t="s">
        <v>14</v>
      </c>
      <c r="D110">
        <v>3196815</v>
      </c>
    </row>
    <row r="111" spans="1:4">
      <c r="A111">
        <v>20260531</v>
      </c>
      <c r="B111" t="s">
        <v>13</v>
      </c>
      <c r="C111" t="s">
        <v>19</v>
      </c>
      <c r="D111">
        <v>197543</v>
      </c>
    </row>
    <row r="112" spans="1:4">
      <c r="A112">
        <v>20260531</v>
      </c>
      <c r="B112" t="s">
        <v>13</v>
      </c>
      <c r="C112" t="s">
        <v>20</v>
      </c>
      <c r="D112">
        <v>103298</v>
      </c>
    </row>
    <row r="113" spans="1:4">
      <c r="A113">
        <v>20260531</v>
      </c>
      <c r="B113" t="s">
        <v>13</v>
      </c>
      <c r="C113" t="s">
        <v>15</v>
      </c>
      <c r="D113">
        <v>2</v>
      </c>
    </row>
    <row r="114" spans="1:4">
      <c r="A114">
        <v>20260531</v>
      </c>
      <c r="B114" t="s">
        <v>13</v>
      </c>
      <c r="C114" t="s">
        <v>21</v>
      </c>
      <c r="D114">
        <v>1001478</v>
      </c>
    </row>
    <row r="115" spans="1:4">
      <c r="A115">
        <v>20260531</v>
      </c>
      <c r="B115" t="s">
        <v>13</v>
      </c>
      <c r="C115" t="s">
        <v>17</v>
      </c>
      <c r="D115">
        <v>6</v>
      </c>
    </row>
    <row r="116" spans="1:4">
      <c r="A116">
        <v>20260630</v>
      </c>
      <c r="B116" t="s">
        <v>4</v>
      </c>
      <c r="C116" t="s">
        <v>5</v>
      </c>
      <c r="D116">
        <v>1991117</v>
      </c>
    </row>
    <row r="117" spans="1:4">
      <c r="A117">
        <v>20260630</v>
      </c>
      <c r="B117" t="s">
        <v>4</v>
      </c>
      <c r="C117" t="s">
        <v>7</v>
      </c>
      <c r="D117">
        <v>2736</v>
      </c>
    </row>
    <row r="118" spans="1:4">
      <c r="A118">
        <v>20260630</v>
      </c>
      <c r="B118" t="s">
        <v>4</v>
      </c>
      <c r="C118" t="s">
        <v>8</v>
      </c>
      <c r="D118">
        <v>2007871</v>
      </c>
    </row>
    <row r="119" spans="1:4">
      <c r="A119">
        <v>20260630</v>
      </c>
      <c r="B119" t="s">
        <v>4</v>
      </c>
      <c r="C119" t="s">
        <v>9</v>
      </c>
      <c r="D119">
        <v>143143</v>
      </c>
    </row>
    <row r="120" spans="1:4">
      <c r="A120">
        <v>20260630</v>
      </c>
      <c r="B120" t="s">
        <v>4</v>
      </c>
      <c r="C120" t="s">
        <v>11</v>
      </c>
      <c r="D120">
        <v>685052</v>
      </c>
    </row>
    <row r="121" spans="1:4">
      <c r="A121">
        <v>20260630</v>
      </c>
      <c r="B121" t="s">
        <v>4</v>
      </c>
      <c r="C121" t="s">
        <v>14</v>
      </c>
      <c r="D121">
        <v>405089</v>
      </c>
    </row>
    <row r="122" spans="1:4">
      <c r="A122">
        <v>20260630</v>
      </c>
      <c r="B122" t="s">
        <v>4</v>
      </c>
      <c r="C122" t="s">
        <v>15</v>
      </c>
      <c r="D122">
        <v>8315618</v>
      </c>
    </row>
    <row r="123" spans="1:4">
      <c r="A123">
        <v>20260630</v>
      </c>
      <c r="B123" t="s">
        <v>4</v>
      </c>
      <c r="C123" t="s">
        <v>16</v>
      </c>
      <c r="D123">
        <v>532237</v>
      </c>
    </row>
    <row r="124" spans="1:4">
      <c r="A124">
        <v>20260630</v>
      </c>
      <c r="B124" t="s">
        <v>4</v>
      </c>
      <c r="C124" t="s">
        <v>17</v>
      </c>
      <c r="D124">
        <v>35156</v>
      </c>
    </row>
    <row r="125" spans="1:4">
      <c r="A125">
        <v>20260630</v>
      </c>
      <c r="B125" t="s">
        <v>10</v>
      </c>
      <c r="C125" t="s">
        <v>5</v>
      </c>
      <c r="D125">
        <v>8940751</v>
      </c>
    </row>
    <row r="126" spans="1:4">
      <c r="A126">
        <v>20260630</v>
      </c>
      <c r="B126" t="s">
        <v>13</v>
      </c>
      <c r="C126" t="s">
        <v>12</v>
      </c>
      <c r="D126">
        <v>3737</v>
      </c>
    </row>
    <row r="127" spans="1:4">
      <c r="A127">
        <v>20260630</v>
      </c>
      <c r="B127" t="s">
        <v>13</v>
      </c>
      <c r="C127" t="s">
        <v>8</v>
      </c>
      <c r="D127">
        <v>7998680</v>
      </c>
    </row>
    <row r="128" spans="1:4">
      <c r="A128">
        <v>20260630</v>
      </c>
      <c r="B128" t="s">
        <v>13</v>
      </c>
      <c r="C128" t="s">
        <v>18</v>
      </c>
      <c r="D128">
        <v>135802</v>
      </c>
    </row>
    <row r="129" spans="1:4">
      <c r="A129">
        <v>20260630</v>
      </c>
      <c r="B129" t="s">
        <v>13</v>
      </c>
      <c r="C129" t="s">
        <v>14</v>
      </c>
      <c r="D129">
        <v>3289139</v>
      </c>
    </row>
    <row r="130" spans="1:4">
      <c r="A130">
        <v>20260630</v>
      </c>
      <c r="B130" t="s">
        <v>13</v>
      </c>
      <c r="C130" t="s">
        <v>19</v>
      </c>
      <c r="D130">
        <v>201768</v>
      </c>
    </row>
    <row r="131" spans="1:4">
      <c r="A131">
        <v>20260630</v>
      </c>
      <c r="B131" t="s">
        <v>13</v>
      </c>
      <c r="C131" t="s">
        <v>20</v>
      </c>
      <c r="D131">
        <v>107257</v>
      </c>
    </row>
    <row r="132" spans="1:4">
      <c r="A132">
        <v>20260630</v>
      </c>
      <c r="B132" t="s">
        <v>13</v>
      </c>
      <c r="C132" t="s">
        <v>15</v>
      </c>
      <c r="D132">
        <v>2</v>
      </c>
    </row>
    <row r="133" spans="1:4">
      <c r="A133">
        <v>20260630</v>
      </c>
      <c r="B133" t="s">
        <v>13</v>
      </c>
      <c r="C133" t="s">
        <v>21</v>
      </c>
      <c r="D133">
        <v>1045621</v>
      </c>
    </row>
    <row r="134" spans="1:4">
      <c r="A134">
        <v>20260630</v>
      </c>
      <c r="B134" t="s">
        <v>13</v>
      </c>
      <c r="C134" t="s">
        <v>17</v>
      </c>
      <c r="D134">
        <v>6</v>
      </c>
    </row>
    <row r="135" spans="1:4">
      <c r="A135">
        <v>20260731</v>
      </c>
      <c r="B135" t="s">
        <v>4</v>
      </c>
      <c r="C135" t="s">
        <v>5</v>
      </c>
      <c r="D135">
        <v>1990060</v>
      </c>
    </row>
    <row r="136" spans="1:4">
      <c r="A136">
        <v>20260731</v>
      </c>
      <c r="B136" t="s">
        <v>4</v>
      </c>
      <c r="C136" t="s">
        <v>7</v>
      </c>
      <c r="D136">
        <v>4017</v>
      </c>
    </row>
    <row r="137" spans="1:4">
      <c r="A137">
        <v>20260731</v>
      </c>
      <c r="B137" t="s">
        <v>4</v>
      </c>
      <c r="C137" t="s">
        <v>8</v>
      </c>
      <c r="D137">
        <v>2000821</v>
      </c>
    </row>
    <row r="138" spans="1:4">
      <c r="A138">
        <v>20260731</v>
      </c>
      <c r="B138" t="s">
        <v>4</v>
      </c>
      <c r="C138" t="s">
        <v>9</v>
      </c>
      <c r="D138">
        <v>141574</v>
      </c>
    </row>
    <row r="139" spans="1:4">
      <c r="A139">
        <v>20260731</v>
      </c>
      <c r="B139" t="s">
        <v>4</v>
      </c>
      <c r="C139" t="s">
        <v>11</v>
      </c>
      <c r="D139">
        <v>615627</v>
      </c>
    </row>
    <row r="140" spans="1:4">
      <c r="A140">
        <v>20260731</v>
      </c>
      <c r="B140" t="s">
        <v>4</v>
      </c>
      <c r="C140" t="s">
        <v>14</v>
      </c>
      <c r="D140">
        <v>396754</v>
      </c>
    </row>
    <row r="141" spans="1:4">
      <c r="A141">
        <v>20260731</v>
      </c>
      <c r="B141" t="s">
        <v>4</v>
      </c>
      <c r="C141" t="s">
        <v>15</v>
      </c>
      <c r="D141">
        <v>8091350</v>
      </c>
    </row>
    <row r="142" spans="1:4">
      <c r="A142">
        <v>20260731</v>
      </c>
      <c r="B142" t="s">
        <v>4</v>
      </c>
      <c r="C142" t="s">
        <v>16</v>
      </c>
      <c r="D142">
        <v>540899</v>
      </c>
    </row>
    <row r="143" spans="1:4">
      <c r="A143">
        <v>20260731</v>
      </c>
      <c r="B143" t="s">
        <v>4</v>
      </c>
      <c r="C143" t="s">
        <v>17</v>
      </c>
      <c r="D143">
        <v>35511</v>
      </c>
    </row>
    <row r="144" spans="1:4">
      <c r="A144">
        <v>20260731</v>
      </c>
      <c r="B144" t="s">
        <v>10</v>
      </c>
      <c r="C144" t="s">
        <v>5</v>
      </c>
      <c r="D144">
        <v>8950313</v>
      </c>
    </row>
    <row r="145" spans="1:4">
      <c r="A145">
        <v>20260731</v>
      </c>
      <c r="B145" t="s">
        <v>13</v>
      </c>
      <c r="C145" t="s">
        <v>12</v>
      </c>
      <c r="D145">
        <v>3818</v>
      </c>
    </row>
    <row r="146" spans="1:4">
      <c r="A146">
        <v>20260731</v>
      </c>
      <c r="B146" t="s">
        <v>13</v>
      </c>
      <c r="C146" t="s">
        <v>8</v>
      </c>
      <c r="D146">
        <v>7902643</v>
      </c>
    </row>
    <row r="147" spans="1:4">
      <c r="A147">
        <v>20260731</v>
      </c>
      <c r="B147" t="s">
        <v>13</v>
      </c>
      <c r="C147" t="s">
        <v>18</v>
      </c>
      <c r="D147">
        <v>135013</v>
      </c>
    </row>
    <row r="148" spans="1:4">
      <c r="A148">
        <v>20260731</v>
      </c>
      <c r="B148" t="s">
        <v>13</v>
      </c>
      <c r="C148" t="s">
        <v>14</v>
      </c>
      <c r="D148">
        <v>3329016</v>
      </c>
    </row>
    <row r="149" spans="1:4">
      <c r="A149">
        <v>20260731</v>
      </c>
      <c r="B149" t="s">
        <v>13</v>
      </c>
      <c r="C149" t="s">
        <v>19</v>
      </c>
      <c r="D149">
        <v>199044</v>
      </c>
    </row>
    <row r="150" spans="1:4">
      <c r="A150">
        <v>20260731</v>
      </c>
      <c r="B150" t="s">
        <v>13</v>
      </c>
      <c r="C150" t="s">
        <v>20</v>
      </c>
      <c r="D150">
        <v>110909</v>
      </c>
    </row>
    <row r="151" spans="1:4">
      <c r="A151">
        <v>20260731</v>
      </c>
      <c r="B151" t="s">
        <v>13</v>
      </c>
      <c r="C151" t="s">
        <v>15</v>
      </c>
      <c r="D151">
        <v>1</v>
      </c>
    </row>
    <row r="152" spans="1:4">
      <c r="A152">
        <v>20260731</v>
      </c>
      <c r="B152" t="s">
        <v>13</v>
      </c>
      <c r="C152" t="s">
        <v>21</v>
      </c>
      <c r="D152">
        <v>1008930</v>
      </c>
    </row>
    <row r="153" spans="1:4">
      <c r="A153">
        <v>20260731</v>
      </c>
      <c r="B153" t="s">
        <v>13</v>
      </c>
      <c r="C153" t="s">
        <v>17</v>
      </c>
      <c r="D153">
        <v>6</v>
      </c>
    </row>
    <row r="154" spans="1:4">
      <c r="A154">
        <v>20260831</v>
      </c>
      <c r="B154" t="s">
        <v>4</v>
      </c>
      <c r="C154" t="s">
        <v>5</v>
      </c>
      <c r="D154">
        <v>1996182</v>
      </c>
    </row>
    <row r="155" spans="1:4">
      <c r="A155">
        <v>20260831</v>
      </c>
      <c r="B155" t="s">
        <v>4</v>
      </c>
      <c r="C155" t="s">
        <v>7</v>
      </c>
      <c r="D155">
        <v>3854</v>
      </c>
    </row>
    <row r="156" spans="1:4">
      <c r="A156">
        <v>20260831</v>
      </c>
      <c r="B156" t="s">
        <v>4</v>
      </c>
      <c r="C156" t="s">
        <v>8</v>
      </c>
      <c r="D156">
        <v>2017395</v>
      </c>
    </row>
    <row r="157" spans="1:4">
      <c r="A157">
        <v>20260831</v>
      </c>
      <c r="B157" t="s">
        <v>4</v>
      </c>
      <c r="C157" t="s">
        <v>9</v>
      </c>
      <c r="D157">
        <v>137945</v>
      </c>
    </row>
    <row r="158" spans="1:4">
      <c r="A158">
        <v>20260831</v>
      </c>
      <c r="B158" t="s">
        <v>4</v>
      </c>
      <c r="C158" t="s">
        <v>11</v>
      </c>
      <c r="D158">
        <v>569921</v>
      </c>
    </row>
    <row r="159" spans="1:4">
      <c r="A159">
        <v>20260831</v>
      </c>
      <c r="B159" t="s">
        <v>4</v>
      </c>
      <c r="C159" t="s">
        <v>14</v>
      </c>
      <c r="D159">
        <v>394329</v>
      </c>
    </row>
    <row r="160" spans="1:4">
      <c r="A160">
        <v>20260831</v>
      </c>
      <c r="B160" t="s">
        <v>4</v>
      </c>
      <c r="C160" t="s">
        <v>15</v>
      </c>
      <c r="D160">
        <v>8034855</v>
      </c>
    </row>
    <row r="161" spans="1:4">
      <c r="A161">
        <v>20260831</v>
      </c>
      <c r="B161" t="s">
        <v>4</v>
      </c>
      <c r="C161" t="s">
        <v>16</v>
      </c>
      <c r="D161">
        <v>547154</v>
      </c>
    </row>
    <row r="162" spans="1:4">
      <c r="A162">
        <v>20260831</v>
      </c>
      <c r="B162" t="s">
        <v>4</v>
      </c>
      <c r="C162" t="s">
        <v>17</v>
      </c>
      <c r="D162">
        <v>36177</v>
      </c>
    </row>
    <row r="163" spans="1:4">
      <c r="A163">
        <v>20260831</v>
      </c>
      <c r="B163" t="s">
        <v>10</v>
      </c>
      <c r="C163" t="s">
        <v>5</v>
      </c>
      <c r="D163">
        <v>8945700</v>
      </c>
    </row>
    <row r="164" spans="1:4">
      <c r="A164">
        <v>20260831</v>
      </c>
      <c r="B164" t="s">
        <v>13</v>
      </c>
      <c r="C164" t="s">
        <v>12</v>
      </c>
      <c r="D164">
        <v>3864</v>
      </c>
    </row>
    <row r="165" spans="1:4">
      <c r="A165">
        <v>20260831</v>
      </c>
      <c r="B165" t="s">
        <v>13</v>
      </c>
      <c r="C165" t="s">
        <v>8</v>
      </c>
      <c r="D165">
        <v>7928772</v>
      </c>
    </row>
    <row r="166" spans="1:4">
      <c r="A166">
        <v>20260831</v>
      </c>
      <c r="B166" t="s">
        <v>13</v>
      </c>
      <c r="C166" t="s">
        <v>18</v>
      </c>
      <c r="D166">
        <v>136623</v>
      </c>
    </row>
    <row r="167" spans="1:4">
      <c r="A167">
        <v>20260831</v>
      </c>
      <c r="B167" t="s">
        <v>13</v>
      </c>
      <c r="C167" t="s">
        <v>14</v>
      </c>
      <c r="D167">
        <v>3389415</v>
      </c>
    </row>
    <row r="168" spans="1:4">
      <c r="A168">
        <v>20260831</v>
      </c>
      <c r="B168" t="s">
        <v>13</v>
      </c>
      <c r="C168" t="s">
        <v>19</v>
      </c>
      <c r="D168">
        <v>200824</v>
      </c>
    </row>
    <row r="169" spans="1:4">
      <c r="A169">
        <v>20260831</v>
      </c>
      <c r="B169" t="s">
        <v>13</v>
      </c>
      <c r="C169" t="s">
        <v>20</v>
      </c>
      <c r="D169">
        <v>112894</v>
      </c>
    </row>
    <row r="170" spans="1:4">
      <c r="A170">
        <v>20260831</v>
      </c>
      <c r="B170" t="s">
        <v>13</v>
      </c>
      <c r="C170" t="s">
        <v>15</v>
      </c>
      <c r="D170">
        <v>1</v>
      </c>
    </row>
    <row r="171" spans="1:4">
      <c r="A171">
        <v>20260831</v>
      </c>
      <c r="B171" t="s">
        <v>13</v>
      </c>
      <c r="C171" t="s">
        <v>21</v>
      </c>
      <c r="D171">
        <v>1018757</v>
      </c>
    </row>
    <row r="172" spans="1:4">
      <c r="A172">
        <v>20260831</v>
      </c>
      <c r="B172" t="s">
        <v>13</v>
      </c>
      <c r="C172" t="s">
        <v>17</v>
      </c>
      <c r="D172">
        <v>6</v>
      </c>
    </row>
    <row r="173" spans="1:4">
      <c r="A173">
        <v>20260930</v>
      </c>
      <c r="B173" t="s">
        <v>4</v>
      </c>
      <c r="C173" t="s">
        <v>5</v>
      </c>
      <c r="D173">
        <v>2000255</v>
      </c>
    </row>
    <row r="174" spans="1:4">
      <c r="A174">
        <v>20260930</v>
      </c>
      <c r="B174" t="s">
        <v>4</v>
      </c>
      <c r="C174" t="s">
        <v>7</v>
      </c>
      <c r="D174">
        <v>3892</v>
      </c>
    </row>
    <row r="175" spans="1:4">
      <c r="A175">
        <v>20260930</v>
      </c>
      <c r="B175" t="s">
        <v>4</v>
      </c>
      <c r="C175" t="s">
        <v>8</v>
      </c>
      <c r="D175">
        <v>2013676</v>
      </c>
    </row>
    <row r="176" spans="1:4">
      <c r="A176">
        <v>20260930</v>
      </c>
      <c r="B176" t="s">
        <v>4</v>
      </c>
      <c r="C176" t="s">
        <v>9</v>
      </c>
      <c r="D176">
        <v>133646</v>
      </c>
    </row>
    <row r="177" spans="1:4">
      <c r="A177">
        <v>20260930</v>
      </c>
      <c r="B177" t="s">
        <v>4</v>
      </c>
      <c r="C177" t="s">
        <v>11</v>
      </c>
      <c r="D177">
        <v>523466</v>
      </c>
    </row>
    <row r="178" spans="1:4">
      <c r="A178">
        <v>20260930</v>
      </c>
      <c r="B178" t="s">
        <v>4</v>
      </c>
      <c r="C178" t="s">
        <v>14</v>
      </c>
      <c r="D178">
        <v>386438</v>
      </c>
    </row>
    <row r="179" spans="1:4">
      <c r="A179">
        <v>20260930</v>
      </c>
      <c r="B179" t="s">
        <v>4</v>
      </c>
      <c r="C179" t="s">
        <v>15</v>
      </c>
      <c r="D179">
        <v>7974683</v>
      </c>
    </row>
    <row r="180" spans="1:4">
      <c r="A180">
        <v>20260930</v>
      </c>
      <c r="B180" t="s">
        <v>4</v>
      </c>
      <c r="C180" t="s">
        <v>16</v>
      </c>
      <c r="D180">
        <v>543113</v>
      </c>
    </row>
    <row r="181" spans="1:4">
      <c r="A181">
        <v>20260930</v>
      </c>
      <c r="B181" t="s">
        <v>4</v>
      </c>
      <c r="C181" t="s">
        <v>17</v>
      </c>
      <c r="D181">
        <v>37899</v>
      </c>
    </row>
    <row r="182" spans="1:4">
      <c r="A182">
        <v>20260930</v>
      </c>
      <c r="B182" t="s">
        <v>10</v>
      </c>
      <c r="C182" t="s">
        <v>5</v>
      </c>
      <c r="D182">
        <v>8939694</v>
      </c>
    </row>
    <row r="183" spans="1:4">
      <c r="A183">
        <v>20260930</v>
      </c>
      <c r="B183" t="s">
        <v>13</v>
      </c>
      <c r="C183" t="s">
        <v>12</v>
      </c>
      <c r="D183">
        <v>4006</v>
      </c>
    </row>
    <row r="184" spans="1:4">
      <c r="A184">
        <v>20260930</v>
      </c>
      <c r="B184" t="s">
        <v>13</v>
      </c>
      <c r="C184" t="s">
        <v>8</v>
      </c>
      <c r="D184">
        <v>7949293</v>
      </c>
    </row>
    <row r="185" spans="1:4">
      <c r="A185">
        <v>20260930</v>
      </c>
      <c r="B185" t="s">
        <v>13</v>
      </c>
      <c r="C185" t="s">
        <v>18</v>
      </c>
      <c r="D185">
        <v>138005</v>
      </c>
    </row>
    <row r="186" spans="1:4">
      <c r="A186">
        <v>20260930</v>
      </c>
      <c r="B186" t="s">
        <v>13</v>
      </c>
      <c r="C186" t="s">
        <v>14</v>
      </c>
      <c r="D186">
        <v>3412714</v>
      </c>
    </row>
    <row r="187" spans="1:4">
      <c r="A187">
        <v>20260930</v>
      </c>
      <c r="B187" t="s">
        <v>13</v>
      </c>
      <c r="C187" t="s">
        <v>19</v>
      </c>
      <c r="D187">
        <v>202094</v>
      </c>
    </row>
    <row r="188" spans="1:4">
      <c r="A188">
        <v>20260930</v>
      </c>
      <c r="B188" t="s">
        <v>13</v>
      </c>
      <c r="C188" t="s">
        <v>20</v>
      </c>
      <c r="D188">
        <v>114846</v>
      </c>
    </row>
    <row r="189" spans="1:4">
      <c r="A189">
        <v>20260930</v>
      </c>
      <c r="B189" t="s">
        <v>13</v>
      </c>
      <c r="C189" t="s">
        <v>15</v>
      </c>
      <c r="D189">
        <v>1</v>
      </c>
    </row>
    <row r="190" spans="1:4">
      <c r="A190">
        <v>20260930</v>
      </c>
      <c r="B190" t="s">
        <v>13</v>
      </c>
      <c r="C190" t="s">
        <v>21</v>
      </c>
      <c r="D190">
        <v>1023050</v>
      </c>
    </row>
    <row r="191" spans="1:4">
      <c r="A191">
        <v>20260930</v>
      </c>
      <c r="B191" t="s">
        <v>13</v>
      </c>
      <c r="C191" t="s">
        <v>17</v>
      </c>
      <c r="D191">
        <v>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6C403-4124-4A6C-9A3D-A885198E4164}">
  <dimension ref="A1:H288"/>
  <sheetViews>
    <sheetView tabSelected="1" workbookViewId="0">
      <selection activeCell="G2" sqref="G2:H5"/>
    </sheetView>
  </sheetViews>
  <sheetFormatPr defaultRowHeight="15"/>
  <cols>
    <col min="1" max="1" width="13" bestFit="1" customWidth="1"/>
    <col min="2" max="2" width="12.7109375" bestFit="1" customWidth="1"/>
    <col min="3" max="3" width="14.42578125" bestFit="1" customWidth="1"/>
    <col min="4" max="4" width="27.42578125" bestFit="1" customWidth="1"/>
    <col min="5" max="5" width="12" bestFit="1" customWidth="1"/>
    <col min="7" max="7" width="13.85546875" bestFit="1" customWidth="1"/>
    <col min="8" max="8" width="16.5703125" bestFit="1" customWidth="1"/>
  </cols>
  <sheetData>
    <row r="1" spans="1:8">
      <c r="A1" t="s">
        <v>64</v>
      </c>
      <c r="B1" t="s">
        <v>45</v>
      </c>
      <c r="C1" t="s">
        <v>1</v>
      </c>
      <c r="D1" t="s">
        <v>2</v>
      </c>
      <c r="E1" t="s">
        <v>3</v>
      </c>
    </row>
    <row r="2" spans="1:8">
      <c r="A2">
        <v>2025</v>
      </c>
      <c r="B2">
        <v>2501</v>
      </c>
      <c r="C2" t="s">
        <v>4</v>
      </c>
      <c r="D2" t="s">
        <v>5</v>
      </c>
      <c r="E2">
        <v>4231</v>
      </c>
    </row>
    <row r="3" spans="1:8">
      <c r="A3">
        <v>2025</v>
      </c>
      <c r="B3">
        <v>2501</v>
      </c>
      <c r="C3" t="s">
        <v>4</v>
      </c>
      <c r="D3" t="s">
        <v>12</v>
      </c>
      <c r="E3">
        <v>41</v>
      </c>
    </row>
    <row r="4" spans="1:8">
      <c r="A4">
        <v>2025</v>
      </c>
      <c r="B4">
        <v>2501</v>
      </c>
      <c r="C4" t="s">
        <v>4</v>
      </c>
      <c r="D4" t="s">
        <v>7</v>
      </c>
      <c r="E4">
        <v>685</v>
      </c>
    </row>
    <row r="5" spans="1:8">
      <c r="A5">
        <v>2025</v>
      </c>
      <c r="B5">
        <v>2501</v>
      </c>
      <c r="C5" t="s">
        <v>4</v>
      </c>
      <c r="D5" t="s">
        <v>8</v>
      </c>
      <c r="E5">
        <v>26140</v>
      </c>
    </row>
    <row r="6" spans="1:8">
      <c r="A6">
        <v>2025</v>
      </c>
      <c r="B6">
        <v>2501</v>
      </c>
      <c r="C6" t="s">
        <v>4</v>
      </c>
      <c r="D6" t="s">
        <v>9</v>
      </c>
      <c r="E6">
        <v>2032</v>
      </c>
    </row>
    <row r="7" spans="1:8">
      <c r="A7">
        <v>2025</v>
      </c>
      <c r="B7">
        <v>2501</v>
      </c>
      <c r="C7" t="s">
        <v>4</v>
      </c>
      <c r="D7" t="s">
        <v>11</v>
      </c>
      <c r="E7">
        <v>61116</v>
      </c>
      <c r="G7" s="1" t="s">
        <v>64</v>
      </c>
      <c r="H7" t="s">
        <v>6</v>
      </c>
    </row>
    <row r="8" spans="1:8">
      <c r="A8">
        <v>2025</v>
      </c>
      <c r="B8">
        <v>2501</v>
      </c>
      <c r="C8" t="s">
        <v>4</v>
      </c>
      <c r="D8" t="s">
        <v>14</v>
      </c>
      <c r="E8">
        <v>6440</v>
      </c>
      <c r="G8">
        <v>2025</v>
      </c>
      <c r="H8">
        <v>2720323</v>
      </c>
    </row>
    <row r="9" spans="1:8">
      <c r="A9">
        <v>2025</v>
      </c>
      <c r="B9">
        <v>2501</v>
      </c>
      <c r="C9" t="s">
        <v>4</v>
      </c>
      <c r="D9" t="s">
        <v>15</v>
      </c>
      <c r="E9">
        <v>225461</v>
      </c>
      <c r="G9">
        <v>2026</v>
      </c>
      <c r="H9">
        <v>12644375</v>
      </c>
    </row>
    <row r="10" spans="1:8">
      <c r="A10">
        <v>2025</v>
      </c>
      <c r="B10">
        <v>2501</v>
      </c>
      <c r="C10" t="s">
        <v>4</v>
      </c>
      <c r="D10" t="s">
        <v>16</v>
      </c>
      <c r="E10">
        <v>9165</v>
      </c>
      <c r="G10" t="s">
        <v>22</v>
      </c>
      <c r="H10">
        <v>15364698</v>
      </c>
    </row>
    <row r="11" spans="1:8">
      <c r="A11">
        <v>2025</v>
      </c>
      <c r="B11">
        <v>2501</v>
      </c>
      <c r="C11" t="s">
        <v>4</v>
      </c>
      <c r="D11" t="s">
        <v>17</v>
      </c>
      <c r="E11">
        <v>129</v>
      </c>
    </row>
    <row r="12" spans="1:8">
      <c r="A12">
        <v>2025</v>
      </c>
      <c r="B12">
        <v>2501</v>
      </c>
      <c r="C12" t="s">
        <v>10</v>
      </c>
      <c r="D12" t="s">
        <v>5</v>
      </c>
      <c r="E12">
        <v>1919</v>
      </c>
    </row>
    <row r="13" spans="1:8">
      <c r="A13">
        <v>2025</v>
      </c>
      <c r="B13">
        <v>2501</v>
      </c>
      <c r="C13" t="s">
        <v>13</v>
      </c>
      <c r="D13" t="s">
        <v>12</v>
      </c>
      <c r="E13">
        <v>1</v>
      </c>
    </row>
    <row r="14" spans="1:8">
      <c r="A14">
        <v>2025</v>
      </c>
      <c r="B14">
        <v>2501</v>
      </c>
      <c r="C14" t="s">
        <v>13</v>
      </c>
      <c r="D14" t="s">
        <v>8</v>
      </c>
      <c r="E14">
        <v>182835</v>
      </c>
    </row>
    <row r="15" spans="1:8">
      <c r="A15">
        <v>2025</v>
      </c>
      <c r="B15">
        <v>2501</v>
      </c>
      <c r="C15" t="s">
        <v>13</v>
      </c>
      <c r="D15" t="s">
        <v>18</v>
      </c>
      <c r="E15">
        <v>2649</v>
      </c>
    </row>
    <row r="16" spans="1:8">
      <c r="A16">
        <v>2025</v>
      </c>
      <c r="B16">
        <v>2501</v>
      </c>
      <c r="C16" t="s">
        <v>13</v>
      </c>
      <c r="D16" t="s">
        <v>14</v>
      </c>
      <c r="E16">
        <v>75514</v>
      </c>
    </row>
    <row r="17" spans="1:5">
      <c r="A17">
        <v>2025</v>
      </c>
      <c r="B17">
        <v>2501</v>
      </c>
      <c r="C17" t="s">
        <v>13</v>
      </c>
      <c r="D17" t="s">
        <v>19</v>
      </c>
      <c r="E17">
        <v>4451</v>
      </c>
    </row>
    <row r="18" spans="1:5">
      <c r="A18">
        <v>2025</v>
      </c>
      <c r="B18">
        <v>2501</v>
      </c>
      <c r="C18" t="s">
        <v>13</v>
      </c>
      <c r="D18" t="s">
        <v>20</v>
      </c>
      <c r="E18">
        <v>10072</v>
      </c>
    </row>
    <row r="19" spans="1:5">
      <c r="A19">
        <v>2025</v>
      </c>
      <c r="B19">
        <v>2501</v>
      </c>
      <c r="C19" t="s">
        <v>13</v>
      </c>
      <c r="D19" t="s">
        <v>15</v>
      </c>
      <c r="E19">
        <v>1</v>
      </c>
    </row>
    <row r="20" spans="1:5">
      <c r="A20">
        <v>2025</v>
      </c>
      <c r="B20">
        <v>2502</v>
      </c>
      <c r="C20" t="s">
        <v>4</v>
      </c>
      <c r="D20" t="s">
        <v>12</v>
      </c>
      <c r="E20">
        <v>11</v>
      </c>
    </row>
    <row r="21" spans="1:5">
      <c r="A21">
        <v>2025</v>
      </c>
      <c r="B21">
        <v>2502</v>
      </c>
      <c r="C21" t="s">
        <v>4</v>
      </c>
      <c r="D21" t="s">
        <v>7</v>
      </c>
      <c r="E21">
        <v>496</v>
      </c>
    </row>
    <row r="22" spans="1:5">
      <c r="A22">
        <v>2025</v>
      </c>
      <c r="B22">
        <v>2502</v>
      </c>
      <c r="C22" t="s">
        <v>4</v>
      </c>
      <c r="D22" t="s">
        <v>8</v>
      </c>
      <c r="E22">
        <v>221</v>
      </c>
    </row>
    <row r="23" spans="1:5">
      <c r="A23">
        <v>2025</v>
      </c>
      <c r="B23">
        <v>2502</v>
      </c>
      <c r="C23" t="s">
        <v>4</v>
      </c>
      <c r="D23" t="s">
        <v>16</v>
      </c>
      <c r="E23">
        <v>3056</v>
      </c>
    </row>
    <row r="24" spans="1:5">
      <c r="A24">
        <v>2025</v>
      </c>
      <c r="B24">
        <v>2502</v>
      </c>
      <c r="C24" t="s">
        <v>4</v>
      </c>
      <c r="D24" t="s">
        <v>17</v>
      </c>
      <c r="E24">
        <v>331</v>
      </c>
    </row>
    <row r="25" spans="1:5">
      <c r="A25">
        <v>2025</v>
      </c>
      <c r="B25">
        <v>2502</v>
      </c>
      <c r="C25" t="s">
        <v>10</v>
      </c>
      <c r="D25" t="s">
        <v>5</v>
      </c>
      <c r="E25">
        <v>3743</v>
      </c>
    </row>
    <row r="26" spans="1:5">
      <c r="A26">
        <v>2025</v>
      </c>
      <c r="B26">
        <v>2502</v>
      </c>
      <c r="C26" t="s">
        <v>13</v>
      </c>
      <c r="D26" t="s">
        <v>12</v>
      </c>
      <c r="E26">
        <v>2</v>
      </c>
    </row>
    <row r="27" spans="1:5">
      <c r="A27">
        <v>2025</v>
      </c>
      <c r="B27">
        <v>2502</v>
      </c>
      <c r="C27" t="s">
        <v>13</v>
      </c>
      <c r="D27" t="s">
        <v>8</v>
      </c>
      <c r="E27">
        <v>4</v>
      </c>
    </row>
    <row r="28" spans="1:5">
      <c r="A28">
        <v>2025</v>
      </c>
      <c r="B28">
        <v>2502</v>
      </c>
      <c r="C28" t="s">
        <v>13</v>
      </c>
      <c r="D28" t="s">
        <v>14</v>
      </c>
      <c r="E28">
        <v>26067</v>
      </c>
    </row>
    <row r="29" spans="1:5">
      <c r="A29">
        <v>2025</v>
      </c>
      <c r="B29">
        <v>2502</v>
      </c>
      <c r="C29" t="s">
        <v>13</v>
      </c>
      <c r="D29" t="s">
        <v>20</v>
      </c>
      <c r="E29">
        <v>6127</v>
      </c>
    </row>
    <row r="30" spans="1:5">
      <c r="A30">
        <v>2025</v>
      </c>
      <c r="B30">
        <v>2502</v>
      </c>
      <c r="C30" t="s">
        <v>13</v>
      </c>
      <c r="D30" t="s">
        <v>15</v>
      </c>
      <c r="E30">
        <v>1</v>
      </c>
    </row>
    <row r="31" spans="1:5">
      <c r="A31">
        <v>2025</v>
      </c>
      <c r="B31">
        <v>2503</v>
      </c>
      <c r="C31" t="s">
        <v>4</v>
      </c>
      <c r="D31" t="s">
        <v>5</v>
      </c>
      <c r="E31">
        <v>9</v>
      </c>
    </row>
    <row r="32" spans="1:5">
      <c r="A32">
        <v>2025</v>
      </c>
      <c r="B32">
        <v>2503</v>
      </c>
      <c r="C32" t="s">
        <v>4</v>
      </c>
      <c r="D32" t="s">
        <v>7</v>
      </c>
      <c r="E32">
        <v>1135</v>
      </c>
    </row>
    <row r="33" spans="1:5">
      <c r="A33">
        <v>2025</v>
      </c>
      <c r="B33">
        <v>2503</v>
      </c>
      <c r="C33" t="s">
        <v>4</v>
      </c>
      <c r="D33" t="s">
        <v>8</v>
      </c>
      <c r="E33">
        <v>52</v>
      </c>
    </row>
    <row r="34" spans="1:5">
      <c r="A34">
        <v>2025</v>
      </c>
      <c r="B34">
        <v>2503</v>
      </c>
      <c r="C34" t="s">
        <v>4</v>
      </c>
      <c r="D34" t="s">
        <v>16</v>
      </c>
      <c r="E34">
        <v>1299</v>
      </c>
    </row>
    <row r="35" spans="1:5">
      <c r="A35">
        <v>2025</v>
      </c>
      <c r="B35">
        <v>2503</v>
      </c>
      <c r="C35" t="s">
        <v>4</v>
      </c>
      <c r="D35" t="s">
        <v>17</v>
      </c>
      <c r="E35">
        <v>361</v>
      </c>
    </row>
    <row r="36" spans="1:5">
      <c r="A36">
        <v>2025</v>
      </c>
      <c r="B36">
        <v>2503</v>
      </c>
      <c r="C36" t="s">
        <v>10</v>
      </c>
      <c r="D36" t="s">
        <v>5</v>
      </c>
      <c r="E36">
        <v>2865</v>
      </c>
    </row>
    <row r="37" spans="1:5">
      <c r="A37">
        <v>2025</v>
      </c>
      <c r="B37">
        <v>2503</v>
      </c>
      <c r="C37" t="s">
        <v>13</v>
      </c>
      <c r="D37" t="s">
        <v>12</v>
      </c>
      <c r="E37">
        <v>3</v>
      </c>
    </row>
    <row r="38" spans="1:5">
      <c r="A38">
        <v>2025</v>
      </c>
      <c r="B38">
        <v>2503</v>
      </c>
      <c r="C38" t="s">
        <v>13</v>
      </c>
      <c r="D38" t="s">
        <v>8</v>
      </c>
      <c r="E38">
        <v>4</v>
      </c>
    </row>
    <row r="39" spans="1:5">
      <c r="A39">
        <v>2025</v>
      </c>
      <c r="B39">
        <v>2503</v>
      </c>
      <c r="C39" t="s">
        <v>13</v>
      </c>
      <c r="D39" t="s">
        <v>14</v>
      </c>
      <c r="E39">
        <v>34463</v>
      </c>
    </row>
    <row r="40" spans="1:5">
      <c r="A40">
        <v>2025</v>
      </c>
      <c r="B40">
        <v>2503</v>
      </c>
      <c r="C40" t="s">
        <v>13</v>
      </c>
      <c r="D40" t="s">
        <v>20</v>
      </c>
      <c r="E40">
        <v>4291</v>
      </c>
    </row>
    <row r="41" spans="1:5">
      <c r="A41">
        <v>2025</v>
      </c>
      <c r="B41">
        <v>2503</v>
      </c>
      <c r="C41" t="s">
        <v>13</v>
      </c>
      <c r="D41" t="s">
        <v>15</v>
      </c>
      <c r="E41">
        <v>1</v>
      </c>
    </row>
    <row r="42" spans="1:5">
      <c r="A42">
        <v>2025</v>
      </c>
      <c r="B42">
        <v>2504</v>
      </c>
      <c r="C42" t="s">
        <v>4</v>
      </c>
      <c r="D42" t="s">
        <v>12</v>
      </c>
      <c r="E42">
        <v>3</v>
      </c>
    </row>
    <row r="43" spans="1:5">
      <c r="A43">
        <v>2025</v>
      </c>
      <c r="B43">
        <v>2504</v>
      </c>
      <c r="C43" t="s">
        <v>4</v>
      </c>
      <c r="D43" t="s">
        <v>7</v>
      </c>
      <c r="E43">
        <v>484</v>
      </c>
    </row>
    <row r="44" spans="1:5">
      <c r="A44">
        <v>2025</v>
      </c>
      <c r="B44">
        <v>2504</v>
      </c>
      <c r="C44" t="s">
        <v>4</v>
      </c>
      <c r="D44" t="s">
        <v>8</v>
      </c>
      <c r="E44">
        <v>1</v>
      </c>
    </row>
    <row r="45" spans="1:5">
      <c r="A45">
        <v>2025</v>
      </c>
      <c r="B45">
        <v>2504</v>
      </c>
      <c r="C45" t="s">
        <v>4</v>
      </c>
      <c r="D45" t="s">
        <v>16</v>
      </c>
      <c r="E45">
        <v>686</v>
      </c>
    </row>
    <row r="46" spans="1:5">
      <c r="A46">
        <v>2025</v>
      </c>
      <c r="B46">
        <v>2504</v>
      </c>
      <c r="C46" t="s">
        <v>4</v>
      </c>
      <c r="D46" t="s">
        <v>17</v>
      </c>
      <c r="E46">
        <v>724</v>
      </c>
    </row>
    <row r="47" spans="1:5">
      <c r="A47">
        <v>2025</v>
      </c>
      <c r="B47">
        <v>2504</v>
      </c>
      <c r="C47" t="s">
        <v>10</v>
      </c>
      <c r="D47" t="s">
        <v>5</v>
      </c>
      <c r="E47">
        <v>1041893</v>
      </c>
    </row>
    <row r="48" spans="1:5">
      <c r="A48">
        <v>2025</v>
      </c>
      <c r="B48">
        <v>2504</v>
      </c>
      <c r="C48" t="s">
        <v>13</v>
      </c>
      <c r="D48" t="s">
        <v>8</v>
      </c>
      <c r="E48">
        <v>3</v>
      </c>
    </row>
    <row r="49" spans="1:5">
      <c r="A49">
        <v>2025</v>
      </c>
      <c r="B49">
        <v>2504</v>
      </c>
      <c r="C49" t="s">
        <v>13</v>
      </c>
      <c r="D49" t="s">
        <v>14</v>
      </c>
      <c r="E49">
        <v>22816</v>
      </c>
    </row>
    <row r="50" spans="1:5">
      <c r="A50">
        <v>2025</v>
      </c>
      <c r="B50">
        <v>2504</v>
      </c>
      <c r="C50" t="s">
        <v>13</v>
      </c>
      <c r="D50" t="s">
        <v>20</v>
      </c>
      <c r="E50">
        <v>2376</v>
      </c>
    </row>
    <row r="51" spans="1:5">
      <c r="A51">
        <v>2025</v>
      </c>
      <c r="B51">
        <v>2505</v>
      </c>
      <c r="C51" t="s">
        <v>4</v>
      </c>
      <c r="D51" t="s">
        <v>12</v>
      </c>
      <c r="E51">
        <v>5</v>
      </c>
    </row>
    <row r="52" spans="1:5">
      <c r="A52">
        <v>2025</v>
      </c>
      <c r="B52">
        <v>2505</v>
      </c>
      <c r="C52" t="s">
        <v>4</v>
      </c>
      <c r="D52" t="s">
        <v>7</v>
      </c>
      <c r="E52">
        <v>860</v>
      </c>
    </row>
    <row r="53" spans="1:5">
      <c r="A53">
        <v>2025</v>
      </c>
      <c r="B53">
        <v>2505</v>
      </c>
      <c r="C53" t="s">
        <v>4</v>
      </c>
      <c r="D53" t="s">
        <v>15</v>
      </c>
      <c r="E53">
        <v>1</v>
      </c>
    </row>
    <row r="54" spans="1:5">
      <c r="A54">
        <v>2025</v>
      </c>
      <c r="B54">
        <v>2505</v>
      </c>
      <c r="C54" t="s">
        <v>4</v>
      </c>
      <c r="D54" t="s">
        <v>16</v>
      </c>
      <c r="E54">
        <v>425</v>
      </c>
    </row>
    <row r="55" spans="1:5">
      <c r="A55">
        <v>2025</v>
      </c>
      <c r="B55">
        <v>2505</v>
      </c>
      <c r="C55" t="s">
        <v>4</v>
      </c>
      <c r="D55" t="s">
        <v>17</v>
      </c>
      <c r="E55">
        <v>182</v>
      </c>
    </row>
    <row r="56" spans="1:5">
      <c r="A56">
        <v>2025</v>
      </c>
      <c r="B56">
        <v>2505</v>
      </c>
      <c r="C56" t="s">
        <v>10</v>
      </c>
      <c r="D56" t="s">
        <v>5</v>
      </c>
      <c r="E56">
        <v>235875</v>
      </c>
    </row>
    <row r="57" spans="1:5">
      <c r="A57">
        <v>2025</v>
      </c>
      <c r="B57">
        <v>2505</v>
      </c>
      <c r="C57" t="s">
        <v>13</v>
      </c>
      <c r="D57" t="s">
        <v>8</v>
      </c>
      <c r="E57">
        <v>1</v>
      </c>
    </row>
    <row r="58" spans="1:5">
      <c r="A58">
        <v>2025</v>
      </c>
      <c r="B58">
        <v>2505</v>
      </c>
      <c r="C58" t="s">
        <v>13</v>
      </c>
      <c r="D58" t="s">
        <v>14</v>
      </c>
      <c r="E58">
        <v>20982</v>
      </c>
    </row>
    <row r="59" spans="1:5">
      <c r="A59">
        <v>2025</v>
      </c>
      <c r="B59">
        <v>2505</v>
      </c>
      <c r="C59" t="s">
        <v>13</v>
      </c>
      <c r="D59" t="s">
        <v>20</v>
      </c>
      <c r="E59">
        <v>3053</v>
      </c>
    </row>
    <row r="60" spans="1:5">
      <c r="A60">
        <v>2025</v>
      </c>
      <c r="B60">
        <v>2506</v>
      </c>
      <c r="C60" t="s">
        <v>4</v>
      </c>
      <c r="D60" t="s">
        <v>12</v>
      </c>
      <c r="E60">
        <v>39</v>
      </c>
    </row>
    <row r="61" spans="1:5">
      <c r="A61">
        <v>2025</v>
      </c>
      <c r="B61">
        <v>2506</v>
      </c>
      <c r="C61" t="s">
        <v>4</v>
      </c>
      <c r="D61" t="s">
        <v>7</v>
      </c>
      <c r="E61">
        <v>795</v>
      </c>
    </row>
    <row r="62" spans="1:5">
      <c r="A62">
        <v>2025</v>
      </c>
      <c r="B62">
        <v>2506</v>
      </c>
      <c r="C62" t="s">
        <v>4</v>
      </c>
      <c r="D62" t="s">
        <v>8</v>
      </c>
      <c r="E62">
        <v>100</v>
      </c>
    </row>
    <row r="63" spans="1:5">
      <c r="A63">
        <v>2025</v>
      </c>
      <c r="B63">
        <v>2506</v>
      </c>
      <c r="C63" t="s">
        <v>4</v>
      </c>
      <c r="D63" t="s">
        <v>15</v>
      </c>
      <c r="E63">
        <v>1</v>
      </c>
    </row>
    <row r="64" spans="1:5">
      <c r="A64">
        <v>2025</v>
      </c>
      <c r="B64">
        <v>2506</v>
      </c>
      <c r="C64" t="s">
        <v>4</v>
      </c>
      <c r="D64" t="s">
        <v>16</v>
      </c>
      <c r="E64">
        <v>2112</v>
      </c>
    </row>
    <row r="65" spans="1:5">
      <c r="A65">
        <v>2025</v>
      </c>
      <c r="B65">
        <v>2506</v>
      </c>
      <c r="C65" t="s">
        <v>4</v>
      </c>
      <c r="D65" t="s">
        <v>17</v>
      </c>
      <c r="E65">
        <v>600</v>
      </c>
    </row>
    <row r="66" spans="1:5">
      <c r="A66">
        <v>2025</v>
      </c>
      <c r="B66">
        <v>2506</v>
      </c>
      <c r="C66" t="s">
        <v>10</v>
      </c>
      <c r="D66" t="s">
        <v>5</v>
      </c>
      <c r="E66">
        <v>6715</v>
      </c>
    </row>
    <row r="67" spans="1:5">
      <c r="A67">
        <v>2025</v>
      </c>
      <c r="B67">
        <v>2506</v>
      </c>
      <c r="C67" t="s">
        <v>13</v>
      </c>
      <c r="D67" t="s">
        <v>8</v>
      </c>
      <c r="E67">
        <v>2</v>
      </c>
    </row>
    <row r="68" spans="1:5">
      <c r="A68">
        <v>2025</v>
      </c>
      <c r="B68">
        <v>2506</v>
      </c>
      <c r="C68" t="s">
        <v>13</v>
      </c>
      <c r="D68" t="s">
        <v>14</v>
      </c>
      <c r="E68">
        <v>26329</v>
      </c>
    </row>
    <row r="69" spans="1:5">
      <c r="A69">
        <v>2025</v>
      </c>
      <c r="B69">
        <v>2506</v>
      </c>
      <c r="C69" t="s">
        <v>13</v>
      </c>
      <c r="D69" t="s">
        <v>20</v>
      </c>
      <c r="E69">
        <v>2519</v>
      </c>
    </row>
    <row r="70" spans="1:5">
      <c r="A70">
        <v>2025</v>
      </c>
      <c r="B70">
        <v>2506</v>
      </c>
      <c r="C70" t="s">
        <v>13</v>
      </c>
      <c r="D70" t="s">
        <v>15</v>
      </c>
      <c r="E70">
        <v>3</v>
      </c>
    </row>
    <row r="71" spans="1:5">
      <c r="A71">
        <v>2025</v>
      </c>
      <c r="B71">
        <v>2507</v>
      </c>
      <c r="C71" t="s">
        <v>4</v>
      </c>
      <c r="D71" t="s">
        <v>12</v>
      </c>
      <c r="E71">
        <v>57</v>
      </c>
    </row>
    <row r="72" spans="1:5">
      <c r="A72">
        <v>2025</v>
      </c>
      <c r="B72">
        <v>2507</v>
      </c>
      <c r="C72" t="s">
        <v>4</v>
      </c>
      <c r="D72" t="s">
        <v>7</v>
      </c>
      <c r="E72">
        <v>548</v>
      </c>
    </row>
    <row r="73" spans="1:5">
      <c r="A73">
        <v>2025</v>
      </c>
      <c r="B73">
        <v>2507</v>
      </c>
      <c r="C73" t="s">
        <v>4</v>
      </c>
      <c r="D73" t="s">
        <v>8</v>
      </c>
      <c r="E73">
        <v>100</v>
      </c>
    </row>
    <row r="74" spans="1:5">
      <c r="A74">
        <v>2025</v>
      </c>
      <c r="B74">
        <v>2507</v>
      </c>
      <c r="C74" t="s">
        <v>4</v>
      </c>
      <c r="D74" t="s">
        <v>16</v>
      </c>
      <c r="E74">
        <v>2890</v>
      </c>
    </row>
    <row r="75" spans="1:5">
      <c r="A75">
        <v>2025</v>
      </c>
      <c r="B75">
        <v>2507</v>
      </c>
      <c r="C75" t="s">
        <v>4</v>
      </c>
      <c r="D75" t="s">
        <v>17</v>
      </c>
      <c r="E75">
        <v>684</v>
      </c>
    </row>
    <row r="76" spans="1:5">
      <c r="A76">
        <v>2025</v>
      </c>
      <c r="B76">
        <v>2507</v>
      </c>
      <c r="C76" t="s">
        <v>10</v>
      </c>
      <c r="D76" t="s">
        <v>5</v>
      </c>
      <c r="E76">
        <v>2895</v>
      </c>
    </row>
    <row r="77" spans="1:5">
      <c r="A77">
        <v>2025</v>
      </c>
      <c r="B77">
        <v>2507</v>
      </c>
      <c r="C77" t="s">
        <v>13</v>
      </c>
      <c r="D77" t="s">
        <v>8</v>
      </c>
      <c r="E77">
        <v>7</v>
      </c>
    </row>
    <row r="78" spans="1:5">
      <c r="A78">
        <v>2025</v>
      </c>
      <c r="B78">
        <v>2507</v>
      </c>
      <c r="C78" t="s">
        <v>13</v>
      </c>
      <c r="D78" t="s">
        <v>14</v>
      </c>
      <c r="E78">
        <v>25232</v>
      </c>
    </row>
    <row r="79" spans="1:5">
      <c r="A79">
        <v>2025</v>
      </c>
      <c r="B79">
        <v>2507</v>
      </c>
      <c r="C79" t="s">
        <v>13</v>
      </c>
      <c r="D79" t="s">
        <v>20</v>
      </c>
      <c r="E79">
        <v>4066</v>
      </c>
    </row>
    <row r="80" spans="1:5">
      <c r="A80">
        <v>2025</v>
      </c>
      <c r="B80">
        <v>2507</v>
      </c>
      <c r="C80" t="s">
        <v>13</v>
      </c>
      <c r="D80" t="s">
        <v>15</v>
      </c>
      <c r="E80">
        <v>1</v>
      </c>
    </row>
    <row r="81" spans="1:5">
      <c r="A81">
        <v>2025</v>
      </c>
      <c r="B81">
        <v>2508</v>
      </c>
      <c r="C81" t="s">
        <v>4</v>
      </c>
      <c r="D81" t="s">
        <v>12</v>
      </c>
      <c r="E81">
        <v>1</v>
      </c>
    </row>
    <row r="82" spans="1:5">
      <c r="A82">
        <v>2025</v>
      </c>
      <c r="B82">
        <v>2508</v>
      </c>
      <c r="C82" t="s">
        <v>4</v>
      </c>
      <c r="D82" t="s">
        <v>7</v>
      </c>
      <c r="E82">
        <v>729</v>
      </c>
    </row>
    <row r="83" spans="1:5">
      <c r="A83">
        <v>2025</v>
      </c>
      <c r="B83">
        <v>2508</v>
      </c>
      <c r="C83" t="s">
        <v>4</v>
      </c>
      <c r="D83" t="s">
        <v>8</v>
      </c>
      <c r="E83">
        <v>102</v>
      </c>
    </row>
    <row r="84" spans="1:5">
      <c r="A84">
        <v>2025</v>
      </c>
      <c r="B84">
        <v>2508</v>
      </c>
      <c r="C84" t="s">
        <v>4</v>
      </c>
      <c r="D84" t="s">
        <v>14</v>
      </c>
      <c r="E84">
        <v>1</v>
      </c>
    </row>
    <row r="85" spans="1:5">
      <c r="A85">
        <v>2025</v>
      </c>
      <c r="B85">
        <v>2508</v>
      </c>
      <c r="C85" t="s">
        <v>4</v>
      </c>
      <c r="D85" t="s">
        <v>15</v>
      </c>
      <c r="E85">
        <v>2</v>
      </c>
    </row>
    <row r="86" spans="1:5">
      <c r="A86">
        <v>2025</v>
      </c>
      <c r="B86">
        <v>2508</v>
      </c>
      <c r="C86" t="s">
        <v>4</v>
      </c>
      <c r="D86" t="s">
        <v>16</v>
      </c>
      <c r="E86">
        <v>1209</v>
      </c>
    </row>
    <row r="87" spans="1:5">
      <c r="A87">
        <v>2025</v>
      </c>
      <c r="B87">
        <v>2508</v>
      </c>
      <c r="C87" t="s">
        <v>4</v>
      </c>
      <c r="D87" t="s">
        <v>17</v>
      </c>
      <c r="E87">
        <v>733</v>
      </c>
    </row>
    <row r="88" spans="1:5">
      <c r="A88">
        <v>2025</v>
      </c>
      <c r="B88">
        <v>2508</v>
      </c>
      <c r="C88" t="s">
        <v>10</v>
      </c>
      <c r="D88" t="s">
        <v>5</v>
      </c>
      <c r="E88">
        <v>2843</v>
      </c>
    </row>
    <row r="89" spans="1:5">
      <c r="A89">
        <v>2025</v>
      </c>
      <c r="B89">
        <v>2508</v>
      </c>
      <c r="C89" t="s">
        <v>13</v>
      </c>
      <c r="D89" t="s">
        <v>12</v>
      </c>
      <c r="E89">
        <v>3</v>
      </c>
    </row>
    <row r="90" spans="1:5">
      <c r="A90">
        <v>2025</v>
      </c>
      <c r="B90">
        <v>2508</v>
      </c>
      <c r="C90" t="s">
        <v>13</v>
      </c>
      <c r="D90" t="s">
        <v>8</v>
      </c>
      <c r="E90">
        <v>4</v>
      </c>
    </row>
    <row r="91" spans="1:5">
      <c r="A91">
        <v>2025</v>
      </c>
      <c r="B91">
        <v>2508</v>
      </c>
      <c r="C91" t="s">
        <v>13</v>
      </c>
      <c r="D91" t="s">
        <v>14</v>
      </c>
      <c r="E91">
        <v>29679</v>
      </c>
    </row>
    <row r="92" spans="1:5">
      <c r="A92">
        <v>2025</v>
      </c>
      <c r="B92">
        <v>2508</v>
      </c>
      <c r="C92" t="s">
        <v>13</v>
      </c>
      <c r="D92" t="s">
        <v>20</v>
      </c>
      <c r="E92">
        <v>2714</v>
      </c>
    </row>
    <row r="93" spans="1:5">
      <c r="A93">
        <v>2025</v>
      </c>
      <c r="B93">
        <v>2508</v>
      </c>
      <c r="C93" t="s">
        <v>13</v>
      </c>
      <c r="D93" t="s">
        <v>15</v>
      </c>
      <c r="E93">
        <v>3</v>
      </c>
    </row>
    <row r="94" spans="1:5">
      <c r="A94">
        <v>2025</v>
      </c>
      <c r="B94">
        <v>2509</v>
      </c>
      <c r="C94" t="s">
        <v>4</v>
      </c>
      <c r="D94" t="s">
        <v>12</v>
      </c>
      <c r="E94">
        <v>14</v>
      </c>
    </row>
    <row r="95" spans="1:5">
      <c r="A95">
        <v>2025</v>
      </c>
      <c r="B95">
        <v>2509</v>
      </c>
      <c r="C95" t="s">
        <v>4</v>
      </c>
      <c r="D95" t="s">
        <v>7</v>
      </c>
      <c r="E95">
        <v>1023</v>
      </c>
    </row>
    <row r="96" spans="1:5">
      <c r="A96">
        <v>2025</v>
      </c>
      <c r="B96">
        <v>2509</v>
      </c>
      <c r="C96" t="s">
        <v>4</v>
      </c>
      <c r="D96" t="s">
        <v>8</v>
      </c>
      <c r="E96">
        <v>106</v>
      </c>
    </row>
    <row r="97" spans="1:5">
      <c r="A97">
        <v>2025</v>
      </c>
      <c r="B97">
        <v>2509</v>
      </c>
      <c r="C97" t="s">
        <v>4</v>
      </c>
      <c r="D97" t="s">
        <v>14</v>
      </c>
      <c r="E97">
        <v>1</v>
      </c>
    </row>
    <row r="98" spans="1:5">
      <c r="A98">
        <v>2025</v>
      </c>
      <c r="B98">
        <v>2509</v>
      </c>
      <c r="C98" t="s">
        <v>4</v>
      </c>
      <c r="D98" t="s">
        <v>15</v>
      </c>
      <c r="E98">
        <v>2</v>
      </c>
    </row>
    <row r="99" spans="1:5">
      <c r="A99">
        <v>2025</v>
      </c>
      <c r="B99">
        <v>2509</v>
      </c>
      <c r="C99" t="s">
        <v>4</v>
      </c>
      <c r="D99" t="s">
        <v>16</v>
      </c>
      <c r="E99">
        <v>1890</v>
      </c>
    </row>
    <row r="100" spans="1:5">
      <c r="A100">
        <v>2025</v>
      </c>
      <c r="B100">
        <v>2509</v>
      </c>
      <c r="C100" t="s">
        <v>4</v>
      </c>
      <c r="D100" t="s">
        <v>17</v>
      </c>
      <c r="E100">
        <v>79</v>
      </c>
    </row>
    <row r="101" spans="1:5">
      <c r="A101">
        <v>2025</v>
      </c>
      <c r="B101">
        <v>2509</v>
      </c>
      <c r="C101" t="s">
        <v>10</v>
      </c>
      <c r="D101" t="s">
        <v>5</v>
      </c>
      <c r="E101">
        <v>5672</v>
      </c>
    </row>
    <row r="102" spans="1:5">
      <c r="A102">
        <v>2025</v>
      </c>
      <c r="B102">
        <v>2509</v>
      </c>
      <c r="C102" t="s">
        <v>13</v>
      </c>
      <c r="D102" t="s">
        <v>8</v>
      </c>
      <c r="E102">
        <v>47</v>
      </c>
    </row>
    <row r="103" spans="1:5">
      <c r="A103">
        <v>2025</v>
      </c>
      <c r="B103">
        <v>2509</v>
      </c>
      <c r="C103" t="s">
        <v>13</v>
      </c>
      <c r="D103" t="s">
        <v>14</v>
      </c>
      <c r="E103">
        <v>26720</v>
      </c>
    </row>
    <row r="104" spans="1:5">
      <c r="A104">
        <v>2025</v>
      </c>
      <c r="B104">
        <v>2509</v>
      </c>
      <c r="C104" t="s">
        <v>13</v>
      </c>
      <c r="D104" t="s">
        <v>20</v>
      </c>
      <c r="E104">
        <v>2291</v>
      </c>
    </row>
    <row r="105" spans="1:5">
      <c r="A105">
        <v>2025</v>
      </c>
      <c r="B105">
        <v>2509</v>
      </c>
      <c r="C105" t="s">
        <v>13</v>
      </c>
      <c r="D105" t="s">
        <v>15</v>
      </c>
      <c r="E105">
        <v>1</v>
      </c>
    </row>
    <row r="106" spans="1:5">
      <c r="A106">
        <v>2025</v>
      </c>
      <c r="B106">
        <v>2510</v>
      </c>
      <c r="C106" t="s">
        <v>4</v>
      </c>
      <c r="D106" t="s">
        <v>12</v>
      </c>
      <c r="E106">
        <v>500</v>
      </c>
    </row>
    <row r="107" spans="1:5">
      <c r="A107">
        <v>2025</v>
      </c>
      <c r="B107">
        <v>2510</v>
      </c>
      <c r="C107" t="s">
        <v>4</v>
      </c>
      <c r="D107" t="s">
        <v>7</v>
      </c>
      <c r="E107">
        <v>1431</v>
      </c>
    </row>
    <row r="108" spans="1:5">
      <c r="A108">
        <v>2025</v>
      </c>
      <c r="B108">
        <v>2510</v>
      </c>
      <c r="C108" t="s">
        <v>4</v>
      </c>
      <c r="D108" t="s">
        <v>8</v>
      </c>
      <c r="E108">
        <v>1</v>
      </c>
    </row>
    <row r="109" spans="1:5">
      <c r="A109">
        <v>2025</v>
      </c>
      <c r="B109">
        <v>2510</v>
      </c>
      <c r="C109" t="s">
        <v>4</v>
      </c>
      <c r="D109" t="s">
        <v>15</v>
      </c>
      <c r="E109">
        <v>2</v>
      </c>
    </row>
    <row r="110" spans="1:5">
      <c r="A110">
        <v>2025</v>
      </c>
      <c r="B110">
        <v>2510</v>
      </c>
      <c r="C110" t="s">
        <v>4</v>
      </c>
      <c r="D110" t="s">
        <v>16</v>
      </c>
      <c r="E110">
        <v>4457</v>
      </c>
    </row>
    <row r="111" spans="1:5">
      <c r="A111">
        <v>2025</v>
      </c>
      <c r="B111">
        <v>2510</v>
      </c>
      <c r="C111" t="s">
        <v>4</v>
      </c>
      <c r="D111" t="s">
        <v>17</v>
      </c>
      <c r="E111">
        <v>318</v>
      </c>
    </row>
    <row r="112" spans="1:5">
      <c r="A112">
        <v>2025</v>
      </c>
      <c r="B112">
        <v>2510</v>
      </c>
      <c r="C112" t="s">
        <v>10</v>
      </c>
      <c r="D112" t="s">
        <v>5</v>
      </c>
      <c r="E112">
        <v>2757</v>
      </c>
    </row>
    <row r="113" spans="1:5">
      <c r="A113">
        <v>2025</v>
      </c>
      <c r="B113">
        <v>2510</v>
      </c>
      <c r="C113" t="s">
        <v>13</v>
      </c>
      <c r="D113" t="s">
        <v>8</v>
      </c>
      <c r="E113">
        <v>29</v>
      </c>
    </row>
    <row r="114" spans="1:5">
      <c r="A114">
        <v>2025</v>
      </c>
      <c r="B114">
        <v>2510</v>
      </c>
      <c r="C114" t="s">
        <v>13</v>
      </c>
      <c r="D114" t="s">
        <v>14</v>
      </c>
      <c r="E114">
        <v>28780</v>
      </c>
    </row>
    <row r="115" spans="1:5">
      <c r="A115">
        <v>2025</v>
      </c>
      <c r="B115">
        <v>2510</v>
      </c>
      <c r="C115" t="s">
        <v>13</v>
      </c>
      <c r="D115" t="s">
        <v>20</v>
      </c>
      <c r="E115">
        <v>2805</v>
      </c>
    </row>
    <row r="116" spans="1:5">
      <c r="A116">
        <v>2025</v>
      </c>
      <c r="B116">
        <v>2510</v>
      </c>
      <c r="C116" t="s">
        <v>13</v>
      </c>
      <c r="D116" t="s">
        <v>15</v>
      </c>
      <c r="E116">
        <v>4</v>
      </c>
    </row>
    <row r="117" spans="1:5">
      <c r="A117">
        <v>2025</v>
      </c>
      <c r="B117">
        <v>2511</v>
      </c>
      <c r="C117" t="s">
        <v>4</v>
      </c>
      <c r="D117" t="s">
        <v>12</v>
      </c>
      <c r="E117">
        <v>1169</v>
      </c>
    </row>
    <row r="118" spans="1:5">
      <c r="A118">
        <v>2025</v>
      </c>
      <c r="B118">
        <v>2511</v>
      </c>
      <c r="C118" t="s">
        <v>4</v>
      </c>
      <c r="D118" t="s">
        <v>7</v>
      </c>
      <c r="E118">
        <v>1155</v>
      </c>
    </row>
    <row r="119" spans="1:5">
      <c r="A119">
        <v>2025</v>
      </c>
      <c r="B119">
        <v>2511</v>
      </c>
      <c r="C119" t="s">
        <v>4</v>
      </c>
      <c r="D119" t="s">
        <v>16</v>
      </c>
      <c r="E119">
        <v>1702</v>
      </c>
    </row>
    <row r="120" spans="1:5">
      <c r="A120">
        <v>2025</v>
      </c>
      <c r="B120">
        <v>2511</v>
      </c>
      <c r="C120" t="s">
        <v>4</v>
      </c>
      <c r="D120" t="s">
        <v>17</v>
      </c>
      <c r="E120">
        <v>114</v>
      </c>
    </row>
    <row r="121" spans="1:5">
      <c r="A121">
        <v>2025</v>
      </c>
      <c r="B121">
        <v>2511</v>
      </c>
      <c r="C121" t="s">
        <v>10</v>
      </c>
      <c r="D121" t="s">
        <v>5</v>
      </c>
      <c r="E121">
        <v>2346</v>
      </c>
    </row>
    <row r="122" spans="1:5">
      <c r="A122">
        <v>2025</v>
      </c>
      <c r="B122">
        <v>2511</v>
      </c>
      <c r="C122" t="s">
        <v>13</v>
      </c>
      <c r="D122" t="s">
        <v>12</v>
      </c>
      <c r="E122">
        <v>1</v>
      </c>
    </row>
    <row r="123" spans="1:5">
      <c r="A123">
        <v>2025</v>
      </c>
      <c r="B123">
        <v>2511</v>
      </c>
      <c r="C123" t="s">
        <v>13</v>
      </c>
      <c r="D123" t="s">
        <v>8</v>
      </c>
      <c r="E123">
        <v>19</v>
      </c>
    </row>
    <row r="124" spans="1:5">
      <c r="A124">
        <v>2025</v>
      </c>
      <c r="B124">
        <v>2511</v>
      </c>
      <c r="C124" t="s">
        <v>13</v>
      </c>
      <c r="D124" t="s">
        <v>18</v>
      </c>
      <c r="E124">
        <v>2</v>
      </c>
    </row>
    <row r="125" spans="1:5">
      <c r="A125">
        <v>2025</v>
      </c>
      <c r="B125">
        <v>2511</v>
      </c>
      <c r="C125" t="s">
        <v>13</v>
      </c>
      <c r="D125" t="s">
        <v>14</v>
      </c>
      <c r="E125">
        <v>33066</v>
      </c>
    </row>
    <row r="126" spans="1:5">
      <c r="A126">
        <v>2025</v>
      </c>
      <c r="B126">
        <v>2511</v>
      </c>
      <c r="C126" t="s">
        <v>13</v>
      </c>
      <c r="D126" t="s">
        <v>19</v>
      </c>
      <c r="E126">
        <v>2</v>
      </c>
    </row>
    <row r="127" spans="1:5">
      <c r="A127">
        <v>2025</v>
      </c>
      <c r="B127">
        <v>2511</v>
      </c>
      <c r="C127" t="s">
        <v>13</v>
      </c>
      <c r="D127" t="s">
        <v>20</v>
      </c>
      <c r="E127">
        <v>2958</v>
      </c>
    </row>
    <row r="128" spans="1:5">
      <c r="A128">
        <v>2025</v>
      </c>
      <c r="B128">
        <v>2511</v>
      </c>
      <c r="C128" t="s">
        <v>13</v>
      </c>
      <c r="D128" t="s">
        <v>15</v>
      </c>
      <c r="E128">
        <v>2</v>
      </c>
    </row>
    <row r="129" spans="1:5">
      <c r="A129">
        <v>2025</v>
      </c>
      <c r="B129">
        <v>2512</v>
      </c>
      <c r="C129" t="s">
        <v>4</v>
      </c>
      <c r="D129" t="s">
        <v>12</v>
      </c>
      <c r="E129">
        <v>37</v>
      </c>
    </row>
    <row r="130" spans="1:5">
      <c r="A130">
        <v>2025</v>
      </c>
      <c r="B130">
        <v>2512</v>
      </c>
      <c r="C130" t="s">
        <v>4</v>
      </c>
      <c r="D130" t="s">
        <v>7</v>
      </c>
      <c r="E130">
        <v>16767</v>
      </c>
    </row>
    <row r="131" spans="1:5">
      <c r="A131">
        <v>2025</v>
      </c>
      <c r="B131">
        <v>2512</v>
      </c>
      <c r="C131" t="s">
        <v>4</v>
      </c>
      <c r="D131" t="s">
        <v>8</v>
      </c>
      <c r="E131">
        <v>1</v>
      </c>
    </row>
    <row r="132" spans="1:5">
      <c r="A132">
        <v>2025</v>
      </c>
      <c r="B132">
        <v>2512</v>
      </c>
      <c r="C132" t="s">
        <v>4</v>
      </c>
      <c r="D132" t="s">
        <v>15</v>
      </c>
      <c r="E132">
        <v>4</v>
      </c>
    </row>
    <row r="133" spans="1:5">
      <c r="A133">
        <v>2025</v>
      </c>
      <c r="B133">
        <v>2512</v>
      </c>
      <c r="C133" t="s">
        <v>4</v>
      </c>
      <c r="D133" t="s">
        <v>16</v>
      </c>
      <c r="E133">
        <v>1188</v>
      </c>
    </row>
    <row r="134" spans="1:5">
      <c r="A134">
        <v>2025</v>
      </c>
      <c r="B134">
        <v>2512</v>
      </c>
      <c r="C134" t="s">
        <v>4</v>
      </c>
      <c r="D134" t="s">
        <v>17</v>
      </c>
      <c r="E134">
        <v>216</v>
      </c>
    </row>
    <row r="135" spans="1:5">
      <c r="A135">
        <v>2025</v>
      </c>
      <c r="B135">
        <v>2512</v>
      </c>
      <c r="C135" t="s">
        <v>10</v>
      </c>
      <c r="D135" t="s">
        <v>5</v>
      </c>
      <c r="E135">
        <v>406483</v>
      </c>
    </row>
    <row r="136" spans="1:5">
      <c r="A136">
        <v>2025</v>
      </c>
      <c r="B136">
        <v>2512</v>
      </c>
      <c r="C136" t="s">
        <v>13</v>
      </c>
      <c r="D136" t="s">
        <v>14</v>
      </c>
      <c r="E136">
        <v>28908</v>
      </c>
    </row>
    <row r="137" spans="1:5">
      <c r="A137">
        <v>2025</v>
      </c>
      <c r="B137">
        <v>2512</v>
      </c>
      <c r="C137" t="s">
        <v>13</v>
      </c>
      <c r="D137" t="s">
        <v>20</v>
      </c>
      <c r="E137">
        <v>3741</v>
      </c>
    </row>
    <row r="138" spans="1:5">
      <c r="A138">
        <v>2026</v>
      </c>
      <c r="B138">
        <v>2601</v>
      </c>
      <c r="C138" t="s">
        <v>4</v>
      </c>
      <c r="D138" t="s">
        <v>5</v>
      </c>
      <c r="E138">
        <v>793</v>
      </c>
    </row>
    <row r="139" spans="1:5">
      <c r="A139">
        <v>2026</v>
      </c>
      <c r="B139">
        <v>2601</v>
      </c>
      <c r="C139" t="s">
        <v>4</v>
      </c>
      <c r="D139" t="s">
        <v>12</v>
      </c>
      <c r="E139">
        <v>1</v>
      </c>
    </row>
    <row r="140" spans="1:5">
      <c r="A140">
        <v>2026</v>
      </c>
      <c r="B140">
        <v>2601</v>
      </c>
      <c r="C140" t="s">
        <v>4</v>
      </c>
      <c r="D140" t="s">
        <v>7</v>
      </c>
      <c r="E140">
        <v>1322</v>
      </c>
    </row>
    <row r="141" spans="1:5">
      <c r="A141">
        <v>2026</v>
      </c>
      <c r="B141">
        <v>2601</v>
      </c>
      <c r="C141" t="s">
        <v>4</v>
      </c>
      <c r="D141" t="s">
        <v>8</v>
      </c>
      <c r="E141">
        <v>9786</v>
      </c>
    </row>
    <row r="142" spans="1:5">
      <c r="A142">
        <v>2026</v>
      </c>
      <c r="B142">
        <v>2601</v>
      </c>
      <c r="C142" t="s">
        <v>4</v>
      </c>
      <c r="D142" t="s">
        <v>9</v>
      </c>
      <c r="E142">
        <v>1765</v>
      </c>
    </row>
    <row r="143" spans="1:5">
      <c r="A143">
        <v>2026</v>
      </c>
      <c r="B143">
        <v>2601</v>
      </c>
      <c r="C143" t="s">
        <v>4</v>
      </c>
      <c r="D143" t="s">
        <v>11</v>
      </c>
      <c r="E143">
        <v>17264</v>
      </c>
    </row>
    <row r="144" spans="1:5">
      <c r="A144">
        <v>2026</v>
      </c>
      <c r="B144">
        <v>2601</v>
      </c>
      <c r="C144" t="s">
        <v>4</v>
      </c>
      <c r="D144" t="s">
        <v>14</v>
      </c>
      <c r="E144">
        <v>3338</v>
      </c>
    </row>
    <row r="145" spans="1:5">
      <c r="A145">
        <v>2026</v>
      </c>
      <c r="B145">
        <v>2601</v>
      </c>
      <c r="C145" t="s">
        <v>4</v>
      </c>
      <c r="D145" t="s">
        <v>15</v>
      </c>
      <c r="E145">
        <v>89000</v>
      </c>
    </row>
    <row r="146" spans="1:5">
      <c r="A146">
        <v>2026</v>
      </c>
      <c r="B146">
        <v>2601</v>
      </c>
      <c r="C146" t="s">
        <v>4</v>
      </c>
      <c r="D146" t="s">
        <v>16</v>
      </c>
      <c r="E146">
        <v>10456</v>
      </c>
    </row>
    <row r="147" spans="1:5">
      <c r="A147">
        <v>2026</v>
      </c>
      <c r="B147">
        <v>2601</v>
      </c>
      <c r="C147" t="s">
        <v>4</v>
      </c>
      <c r="D147" t="s">
        <v>17</v>
      </c>
      <c r="E147">
        <v>699</v>
      </c>
    </row>
    <row r="148" spans="1:5">
      <c r="A148">
        <v>2026</v>
      </c>
      <c r="B148">
        <v>2601</v>
      </c>
      <c r="C148" t="s">
        <v>10</v>
      </c>
      <c r="D148" t="s">
        <v>5</v>
      </c>
      <c r="E148">
        <v>254583</v>
      </c>
    </row>
    <row r="149" spans="1:5">
      <c r="A149">
        <v>2026</v>
      </c>
      <c r="B149">
        <v>2601</v>
      </c>
      <c r="C149" t="s">
        <v>13</v>
      </c>
      <c r="D149" t="s">
        <v>8</v>
      </c>
      <c r="E149">
        <v>74982</v>
      </c>
    </row>
    <row r="150" spans="1:5">
      <c r="A150">
        <v>2026</v>
      </c>
      <c r="B150">
        <v>2601</v>
      </c>
      <c r="C150" t="s">
        <v>13</v>
      </c>
      <c r="D150" t="s">
        <v>18</v>
      </c>
      <c r="E150">
        <v>1258</v>
      </c>
    </row>
    <row r="151" spans="1:5">
      <c r="A151">
        <v>2026</v>
      </c>
      <c r="B151">
        <v>2601</v>
      </c>
      <c r="C151" t="s">
        <v>13</v>
      </c>
      <c r="D151" t="s">
        <v>14</v>
      </c>
      <c r="E151">
        <v>59435</v>
      </c>
    </row>
    <row r="152" spans="1:5">
      <c r="A152">
        <v>2026</v>
      </c>
      <c r="B152">
        <v>2601</v>
      </c>
      <c r="C152" t="s">
        <v>13</v>
      </c>
      <c r="D152" t="s">
        <v>19</v>
      </c>
      <c r="E152">
        <v>2359</v>
      </c>
    </row>
    <row r="153" spans="1:5">
      <c r="A153">
        <v>2026</v>
      </c>
      <c r="B153">
        <v>2601</v>
      </c>
      <c r="C153" t="s">
        <v>13</v>
      </c>
      <c r="D153" t="s">
        <v>20</v>
      </c>
      <c r="E153">
        <v>4340</v>
      </c>
    </row>
    <row r="154" spans="1:5">
      <c r="A154">
        <v>2026</v>
      </c>
      <c r="B154">
        <v>2601</v>
      </c>
      <c r="C154" t="s">
        <v>13</v>
      </c>
      <c r="D154" t="s">
        <v>15</v>
      </c>
      <c r="E154">
        <v>1</v>
      </c>
    </row>
    <row r="155" spans="1:5">
      <c r="A155">
        <v>2026</v>
      </c>
      <c r="B155">
        <v>2602</v>
      </c>
      <c r="C155" t="s">
        <v>4</v>
      </c>
      <c r="D155" t="s">
        <v>5</v>
      </c>
      <c r="E155">
        <v>2062</v>
      </c>
    </row>
    <row r="156" spans="1:5">
      <c r="A156">
        <v>2026</v>
      </c>
      <c r="B156">
        <v>2602</v>
      </c>
      <c r="C156" t="s">
        <v>4</v>
      </c>
      <c r="D156" t="s">
        <v>12</v>
      </c>
      <c r="E156">
        <v>27</v>
      </c>
    </row>
    <row r="157" spans="1:5">
      <c r="A157">
        <v>2026</v>
      </c>
      <c r="B157">
        <v>2602</v>
      </c>
      <c r="C157" t="s">
        <v>4</v>
      </c>
      <c r="D157" t="s">
        <v>7</v>
      </c>
      <c r="E157">
        <v>1107</v>
      </c>
    </row>
    <row r="158" spans="1:5">
      <c r="A158">
        <v>2026</v>
      </c>
      <c r="B158">
        <v>2602</v>
      </c>
      <c r="C158" t="s">
        <v>4</v>
      </c>
      <c r="D158" t="s">
        <v>8</v>
      </c>
      <c r="E158">
        <v>67126</v>
      </c>
    </row>
    <row r="159" spans="1:5">
      <c r="A159">
        <v>2026</v>
      </c>
      <c r="B159">
        <v>2602</v>
      </c>
      <c r="C159" t="s">
        <v>4</v>
      </c>
      <c r="D159" t="s">
        <v>9</v>
      </c>
      <c r="E159">
        <v>7157</v>
      </c>
    </row>
    <row r="160" spans="1:5">
      <c r="A160">
        <v>2026</v>
      </c>
      <c r="B160">
        <v>2602</v>
      </c>
      <c r="C160" t="s">
        <v>4</v>
      </c>
      <c r="D160" t="s">
        <v>11</v>
      </c>
      <c r="E160">
        <v>103411</v>
      </c>
    </row>
    <row r="161" spans="1:5">
      <c r="A161">
        <v>2026</v>
      </c>
      <c r="B161">
        <v>2602</v>
      </c>
      <c r="C161" t="s">
        <v>4</v>
      </c>
      <c r="D161" t="s">
        <v>14</v>
      </c>
      <c r="E161">
        <v>12040</v>
      </c>
    </row>
    <row r="162" spans="1:5">
      <c r="A162">
        <v>2026</v>
      </c>
      <c r="B162">
        <v>2602</v>
      </c>
      <c r="C162" t="s">
        <v>4</v>
      </c>
      <c r="D162" t="s">
        <v>15</v>
      </c>
      <c r="E162">
        <v>496117</v>
      </c>
    </row>
    <row r="163" spans="1:5">
      <c r="A163">
        <v>2026</v>
      </c>
      <c r="B163">
        <v>2602</v>
      </c>
      <c r="C163" t="s">
        <v>4</v>
      </c>
      <c r="D163" t="s">
        <v>16</v>
      </c>
      <c r="E163">
        <v>19244</v>
      </c>
    </row>
    <row r="164" spans="1:5">
      <c r="A164">
        <v>2026</v>
      </c>
      <c r="B164">
        <v>2602</v>
      </c>
      <c r="C164" t="s">
        <v>4</v>
      </c>
      <c r="D164" t="s">
        <v>17</v>
      </c>
      <c r="E164">
        <v>282</v>
      </c>
    </row>
    <row r="165" spans="1:5">
      <c r="A165">
        <v>2026</v>
      </c>
      <c r="B165">
        <v>2602</v>
      </c>
      <c r="C165" t="s">
        <v>10</v>
      </c>
      <c r="D165" t="s">
        <v>5</v>
      </c>
      <c r="E165">
        <v>86280</v>
      </c>
    </row>
    <row r="166" spans="1:5">
      <c r="A166">
        <v>2026</v>
      </c>
      <c r="B166">
        <v>2602</v>
      </c>
      <c r="C166" t="s">
        <v>13</v>
      </c>
      <c r="D166" t="s">
        <v>8</v>
      </c>
      <c r="E166">
        <v>419388</v>
      </c>
    </row>
    <row r="167" spans="1:5">
      <c r="A167">
        <v>2026</v>
      </c>
      <c r="B167">
        <v>2602</v>
      </c>
      <c r="C167" t="s">
        <v>13</v>
      </c>
      <c r="D167" t="s">
        <v>18</v>
      </c>
      <c r="E167">
        <v>7522</v>
      </c>
    </row>
    <row r="168" spans="1:5">
      <c r="A168">
        <v>2026</v>
      </c>
      <c r="B168">
        <v>2602</v>
      </c>
      <c r="C168" t="s">
        <v>13</v>
      </c>
      <c r="D168" t="s">
        <v>14</v>
      </c>
      <c r="E168">
        <v>140891</v>
      </c>
    </row>
    <row r="169" spans="1:5">
      <c r="A169">
        <v>2026</v>
      </c>
      <c r="B169">
        <v>2602</v>
      </c>
      <c r="C169" t="s">
        <v>13</v>
      </c>
      <c r="D169" t="s">
        <v>19</v>
      </c>
      <c r="E169">
        <v>9936</v>
      </c>
    </row>
    <row r="170" spans="1:5">
      <c r="A170">
        <v>2026</v>
      </c>
      <c r="B170">
        <v>2602</v>
      </c>
      <c r="C170" t="s">
        <v>13</v>
      </c>
      <c r="D170" t="s">
        <v>20</v>
      </c>
      <c r="E170">
        <v>6788</v>
      </c>
    </row>
    <row r="171" spans="1:5">
      <c r="A171">
        <v>2026</v>
      </c>
      <c r="B171">
        <v>2602</v>
      </c>
      <c r="C171" t="s">
        <v>13</v>
      </c>
      <c r="D171" t="s">
        <v>15</v>
      </c>
      <c r="E171">
        <v>1</v>
      </c>
    </row>
    <row r="172" spans="1:5">
      <c r="A172">
        <v>2026</v>
      </c>
      <c r="B172">
        <v>2603</v>
      </c>
      <c r="C172" t="s">
        <v>4</v>
      </c>
      <c r="D172" t="s">
        <v>5</v>
      </c>
      <c r="E172">
        <v>2746</v>
      </c>
    </row>
    <row r="173" spans="1:5">
      <c r="A173">
        <v>2026</v>
      </c>
      <c r="B173">
        <v>2603</v>
      </c>
      <c r="C173" t="s">
        <v>4</v>
      </c>
      <c r="D173" t="s">
        <v>12</v>
      </c>
      <c r="E173">
        <v>30</v>
      </c>
    </row>
    <row r="174" spans="1:5">
      <c r="A174">
        <v>2026</v>
      </c>
      <c r="B174">
        <v>2603</v>
      </c>
      <c r="C174" t="s">
        <v>4</v>
      </c>
      <c r="D174" t="s">
        <v>7</v>
      </c>
      <c r="E174">
        <v>539</v>
      </c>
    </row>
    <row r="175" spans="1:5">
      <c r="A175">
        <v>2026</v>
      </c>
      <c r="B175">
        <v>2603</v>
      </c>
      <c r="C175" t="s">
        <v>4</v>
      </c>
      <c r="D175" t="s">
        <v>8</v>
      </c>
      <c r="E175">
        <v>90816</v>
      </c>
    </row>
    <row r="176" spans="1:5">
      <c r="A176">
        <v>2026</v>
      </c>
      <c r="B176">
        <v>2603</v>
      </c>
      <c r="C176" t="s">
        <v>4</v>
      </c>
      <c r="D176" t="s">
        <v>9</v>
      </c>
      <c r="E176">
        <v>10414</v>
      </c>
    </row>
    <row r="177" spans="1:5">
      <c r="A177">
        <v>2026</v>
      </c>
      <c r="B177">
        <v>2603</v>
      </c>
      <c r="C177" t="s">
        <v>4</v>
      </c>
      <c r="D177" t="s">
        <v>11</v>
      </c>
      <c r="E177">
        <v>127812</v>
      </c>
    </row>
    <row r="178" spans="1:5">
      <c r="A178">
        <v>2026</v>
      </c>
      <c r="B178">
        <v>2603</v>
      </c>
      <c r="C178" t="s">
        <v>4</v>
      </c>
      <c r="D178" t="s">
        <v>14</v>
      </c>
      <c r="E178">
        <v>16840</v>
      </c>
    </row>
    <row r="179" spans="1:5">
      <c r="A179">
        <v>2026</v>
      </c>
      <c r="B179">
        <v>2603</v>
      </c>
      <c r="C179" t="s">
        <v>4</v>
      </c>
      <c r="D179" t="s">
        <v>15</v>
      </c>
      <c r="E179">
        <v>575143</v>
      </c>
    </row>
    <row r="180" spans="1:5">
      <c r="A180">
        <v>2026</v>
      </c>
      <c r="B180">
        <v>2603</v>
      </c>
      <c r="C180" t="s">
        <v>4</v>
      </c>
      <c r="D180" t="s">
        <v>16</v>
      </c>
      <c r="E180">
        <v>19423</v>
      </c>
    </row>
    <row r="181" spans="1:5">
      <c r="A181">
        <v>2026</v>
      </c>
      <c r="B181">
        <v>2603</v>
      </c>
      <c r="C181" t="s">
        <v>4</v>
      </c>
      <c r="D181" t="s">
        <v>17</v>
      </c>
      <c r="E181">
        <v>198</v>
      </c>
    </row>
    <row r="182" spans="1:5">
      <c r="A182">
        <v>2026</v>
      </c>
      <c r="B182">
        <v>2603</v>
      </c>
      <c r="C182" t="s">
        <v>10</v>
      </c>
      <c r="D182" t="s">
        <v>5</v>
      </c>
      <c r="E182">
        <v>6088</v>
      </c>
    </row>
    <row r="183" spans="1:5">
      <c r="A183">
        <v>2026</v>
      </c>
      <c r="B183">
        <v>2603</v>
      </c>
      <c r="C183" t="s">
        <v>13</v>
      </c>
      <c r="D183" t="s">
        <v>8</v>
      </c>
      <c r="E183">
        <v>487975</v>
      </c>
    </row>
    <row r="184" spans="1:5">
      <c r="A184">
        <v>2026</v>
      </c>
      <c r="B184">
        <v>2603</v>
      </c>
      <c r="C184" t="s">
        <v>13</v>
      </c>
      <c r="D184" t="s">
        <v>18</v>
      </c>
      <c r="E184">
        <v>10691</v>
      </c>
    </row>
    <row r="185" spans="1:5">
      <c r="A185">
        <v>2026</v>
      </c>
      <c r="B185">
        <v>2603</v>
      </c>
      <c r="C185" t="s">
        <v>13</v>
      </c>
      <c r="D185" t="s">
        <v>14</v>
      </c>
      <c r="E185">
        <v>175967</v>
      </c>
    </row>
    <row r="186" spans="1:5">
      <c r="A186">
        <v>2026</v>
      </c>
      <c r="B186">
        <v>2603</v>
      </c>
      <c r="C186" t="s">
        <v>13</v>
      </c>
      <c r="D186" t="s">
        <v>19</v>
      </c>
      <c r="E186">
        <v>11992</v>
      </c>
    </row>
    <row r="187" spans="1:5">
      <c r="A187">
        <v>2026</v>
      </c>
      <c r="B187">
        <v>2603</v>
      </c>
      <c r="C187" t="s">
        <v>13</v>
      </c>
      <c r="D187" t="s">
        <v>20</v>
      </c>
      <c r="E187">
        <v>7611</v>
      </c>
    </row>
    <row r="188" spans="1:5">
      <c r="A188">
        <v>2026</v>
      </c>
      <c r="B188">
        <v>2603</v>
      </c>
      <c r="C188" t="s">
        <v>13</v>
      </c>
      <c r="D188" t="s">
        <v>15</v>
      </c>
      <c r="E188">
        <v>5</v>
      </c>
    </row>
    <row r="189" spans="1:5">
      <c r="A189">
        <v>2026</v>
      </c>
      <c r="B189">
        <v>2604</v>
      </c>
      <c r="C189" t="s">
        <v>4</v>
      </c>
      <c r="D189" t="s">
        <v>5</v>
      </c>
      <c r="E189">
        <v>3438</v>
      </c>
    </row>
    <row r="190" spans="1:5">
      <c r="A190">
        <v>2026</v>
      </c>
      <c r="B190">
        <v>2604</v>
      </c>
      <c r="C190" t="s">
        <v>4</v>
      </c>
      <c r="D190" t="s">
        <v>12</v>
      </c>
      <c r="E190">
        <v>28</v>
      </c>
    </row>
    <row r="191" spans="1:5">
      <c r="A191">
        <v>2026</v>
      </c>
      <c r="B191">
        <v>2604</v>
      </c>
      <c r="C191" t="s">
        <v>4</v>
      </c>
      <c r="D191" t="s">
        <v>7</v>
      </c>
      <c r="E191">
        <v>648</v>
      </c>
    </row>
    <row r="192" spans="1:5">
      <c r="A192">
        <v>2026</v>
      </c>
      <c r="B192">
        <v>2604</v>
      </c>
      <c r="C192" t="s">
        <v>4</v>
      </c>
      <c r="D192" t="s">
        <v>8</v>
      </c>
      <c r="E192">
        <v>58648</v>
      </c>
    </row>
    <row r="193" spans="1:5">
      <c r="A193">
        <v>2026</v>
      </c>
      <c r="B193">
        <v>2604</v>
      </c>
      <c r="C193" t="s">
        <v>4</v>
      </c>
      <c r="D193" t="s">
        <v>9</v>
      </c>
      <c r="E193">
        <v>7035</v>
      </c>
    </row>
    <row r="194" spans="1:5">
      <c r="A194">
        <v>2026</v>
      </c>
      <c r="B194">
        <v>2604</v>
      </c>
      <c r="C194" t="s">
        <v>4</v>
      </c>
      <c r="D194" t="s">
        <v>11</v>
      </c>
      <c r="E194">
        <v>90675</v>
      </c>
    </row>
    <row r="195" spans="1:5">
      <c r="A195">
        <v>2026</v>
      </c>
      <c r="B195">
        <v>2604</v>
      </c>
      <c r="C195" t="s">
        <v>4</v>
      </c>
      <c r="D195" t="s">
        <v>14</v>
      </c>
      <c r="E195">
        <v>10999</v>
      </c>
    </row>
    <row r="196" spans="1:5">
      <c r="A196">
        <v>2026</v>
      </c>
      <c r="B196">
        <v>2604</v>
      </c>
      <c r="C196" t="s">
        <v>4</v>
      </c>
      <c r="D196" t="s">
        <v>15</v>
      </c>
      <c r="E196">
        <v>342839</v>
      </c>
    </row>
    <row r="197" spans="1:5">
      <c r="A197">
        <v>2026</v>
      </c>
      <c r="B197">
        <v>2604</v>
      </c>
      <c r="C197" t="s">
        <v>4</v>
      </c>
      <c r="D197" t="s">
        <v>16</v>
      </c>
      <c r="E197">
        <v>12284</v>
      </c>
    </row>
    <row r="198" spans="1:5">
      <c r="A198">
        <v>2026</v>
      </c>
      <c r="B198">
        <v>2604</v>
      </c>
      <c r="C198" t="s">
        <v>4</v>
      </c>
      <c r="D198" t="s">
        <v>17</v>
      </c>
      <c r="E198">
        <v>186</v>
      </c>
    </row>
    <row r="199" spans="1:5">
      <c r="A199">
        <v>2026</v>
      </c>
      <c r="B199">
        <v>2604</v>
      </c>
      <c r="C199" t="s">
        <v>10</v>
      </c>
      <c r="D199" t="s">
        <v>5</v>
      </c>
      <c r="E199">
        <v>129608</v>
      </c>
    </row>
    <row r="200" spans="1:5">
      <c r="A200">
        <v>2026</v>
      </c>
      <c r="B200">
        <v>2604</v>
      </c>
      <c r="C200" t="s">
        <v>13</v>
      </c>
      <c r="D200" t="s">
        <v>8</v>
      </c>
      <c r="E200">
        <v>349317</v>
      </c>
    </row>
    <row r="201" spans="1:5">
      <c r="A201">
        <v>2026</v>
      </c>
      <c r="B201">
        <v>2604</v>
      </c>
      <c r="C201" t="s">
        <v>13</v>
      </c>
      <c r="D201" t="s">
        <v>18</v>
      </c>
      <c r="E201">
        <v>4493</v>
      </c>
    </row>
    <row r="202" spans="1:5">
      <c r="A202">
        <v>2026</v>
      </c>
      <c r="B202">
        <v>2604</v>
      </c>
      <c r="C202" t="s">
        <v>13</v>
      </c>
      <c r="D202" t="s">
        <v>14</v>
      </c>
      <c r="E202">
        <v>129344</v>
      </c>
    </row>
    <row r="203" spans="1:5">
      <c r="A203">
        <v>2026</v>
      </c>
      <c r="B203">
        <v>2604</v>
      </c>
      <c r="C203" t="s">
        <v>13</v>
      </c>
      <c r="D203" t="s">
        <v>19</v>
      </c>
      <c r="E203">
        <v>8495</v>
      </c>
    </row>
    <row r="204" spans="1:5">
      <c r="A204">
        <v>2026</v>
      </c>
      <c r="B204">
        <v>2604</v>
      </c>
      <c r="C204" t="s">
        <v>13</v>
      </c>
      <c r="D204" t="s">
        <v>20</v>
      </c>
      <c r="E204">
        <v>7246</v>
      </c>
    </row>
    <row r="205" spans="1:5">
      <c r="A205">
        <v>2026</v>
      </c>
      <c r="B205">
        <v>2604</v>
      </c>
      <c r="C205" t="s">
        <v>13</v>
      </c>
      <c r="D205" t="s">
        <v>15</v>
      </c>
      <c r="E205">
        <v>5</v>
      </c>
    </row>
    <row r="206" spans="1:5">
      <c r="A206">
        <v>2026</v>
      </c>
      <c r="B206">
        <v>2605</v>
      </c>
      <c r="C206" t="s">
        <v>4</v>
      </c>
      <c r="D206" t="s">
        <v>5</v>
      </c>
      <c r="E206">
        <v>1270</v>
      </c>
    </row>
    <row r="207" spans="1:5">
      <c r="A207">
        <v>2026</v>
      </c>
      <c r="B207">
        <v>2605</v>
      </c>
      <c r="C207" t="s">
        <v>4</v>
      </c>
      <c r="D207" t="s">
        <v>12</v>
      </c>
      <c r="E207">
        <v>3</v>
      </c>
    </row>
    <row r="208" spans="1:5">
      <c r="A208">
        <v>2026</v>
      </c>
      <c r="B208">
        <v>2605</v>
      </c>
      <c r="C208" t="s">
        <v>4</v>
      </c>
      <c r="D208" t="s">
        <v>7</v>
      </c>
      <c r="E208">
        <v>721</v>
      </c>
    </row>
    <row r="209" spans="1:5">
      <c r="A209">
        <v>2026</v>
      </c>
      <c r="B209">
        <v>2605</v>
      </c>
      <c r="C209" t="s">
        <v>4</v>
      </c>
      <c r="D209" t="s">
        <v>8</v>
      </c>
      <c r="E209">
        <v>82334</v>
      </c>
    </row>
    <row r="210" spans="1:5">
      <c r="A210">
        <v>2026</v>
      </c>
      <c r="B210">
        <v>2605</v>
      </c>
      <c r="C210" t="s">
        <v>4</v>
      </c>
      <c r="D210" t="s">
        <v>9</v>
      </c>
      <c r="E210">
        <v>7906</v>
      </c>
    </row>
    <row r="211" spans="1:5">
      <c r="A211">
        <v>2026</v>
      </c>
      <c r="B211">
        <v>2605</v>
      </c>
      <c r="C211" t="s">
        <v>4</v>
      </c>
      <c r="D211" t="s">
        <v>11</v>
      </c>
      <c r="E211">
        <v>102651</v>
      </c>
    </row>
    <row r="212" spans="1:5">
      <c r="A212">
        <v>2026</v>
      </c>
      <c r="B212">
        <v>2605</v>
      </c>
      <c r="C212" t="s">
        <v>4</v>
      </c>
      <c r="D212" t="s">
        <v>14</v>
      </c>
      <c r="E212">
        <v>16892</v>
      </c>
    </row>
    <row r="213" spans="1:5">
      <c r="A213">
        <v>2026</v>
      </c>
      <c r="B213">
        <v>2605</v>
      </c>
      <c r="C213" t="s">
        <v>4</v>
      </c>
      <c r="D213" t="s">
        <v>15</v>
      </c>
      <c r="E213">
        <v>498829</v>
      </c>
    </row>
    <row r="214" spans="1:5">
      <c r="A214">
        <v>2026</v>
      </c>
      <c r="B214">
        <v>2605</v>
      </c>
      <c r="C214" t="s">
        <v>4</v>
      </c>
      <c r="D214" t="s">
        <v>16</v>
      </c>
      <c r="E214">
        <v>27404</v>
      </c>
    </row>
    <row r="215" spans="1:5">
      <c r="A215">
        <v>2026</v>
      </c>
      <c r="B215">
        <v>2605</v>
      </c>
      <c r="C215" t="s">
        <v>4</v>
      </c>
      <c r="D215" t="s">
        <v>17</v>
      </c>
      <c r="E215">
        <v>229</v>
      </c>
    </row>
    <row r="216" spans="1:5">
      <c r="A216">
        <v>2026</v>
      </c>
      <c r="B216">
        <v>2605</v>
      </c>
      <c r="C216" t="s">
        <v>10</v>
      </c>
      <c r="D216" t="s">
        <v>5</v>
      </c>
      <c r="E216">
        <v>329341</v>
      </c>
    </row>
    <row r="217" spans="1:5">
      <c r="A217">
        <v>2026</v>
      </c>
      <c r="B217">
        <v>2605</v>
      </c>
      <c r="C217" t="s">
        <v>13</v>
      </c>
      <c r="D217" t="s">
        <v>8</v>
      </c>
      <c r="E217">
        <v>469509</v>
      </c>
    </row>
    <row r="218" spans="1:5">
      <c r="A218">
        <v>2026</v>
      </c>
      <c r="B218">
        <v>2605</v>
      </c>
      <c r="C218" t="s">
        <v>13</v>
      </c>
      <c r="D218" t="s">
        <v>18</v>
      </c>
      <c r="E218">
        <v>7486</v>
      </c>
    </row>
    <row r="219" spans="1:5">
      <c r="A219">
        <v>2026</v>
      </c>
      <c r="B219">
        <v>2605</v>
      </c>
      <c r="C219" t="s">
        <v>13</v>
      </c>
      <c r="D219" t="s">
        <v>14</v>
      </c>
      <c r="E219">
        <v>157683</v>
      </c>
    </row>
    <row r="220" spans="1:5">
      <c r="A220">
        <v>2026</v>
      </c>
      <c r="B220">
        <v>2605</v>
      </c>
      <c r="C220" t="s">
        <v>13</v>
      </c>
      <c r="D220" t="s">
        <v>19</v>
      </c>
      <c r="E220">
        <v>11574</v>
      </c>
    </row>
    <row r="221" spans="1:5">
      <c r="A221">
        <v>2026</v>
      </c>
      <c r="B221">
        <v>2605</v>
      </c>
      <c r="C221" t="s">
        <v>13</v>
      </c>
      <c r="D221" t="s">
        <v>20</v>
      </c>
      <c r="E221">
        <v>7400</v>
      </c>
    </row>
    <row r="222" spans="1:5">
      <c r="A222">
        <v>2026</v>
      </c>
      <c r="B222">
        <v>2605</v>
      </c>
      <c r="C222" t="s">
        <v>13</v>
      </c>
      <c r="D222" t="s">
        <v>15</v>
      </c>
      <c r="E222">
        <v>5</v>
      </c>
    </row>
    <row r="223" spans="1:5">
      <c r="A223">
        <v>2026</v>
      </c>
      <c r="B223">
        <v>2606</v>
      </c>
      <c r="C223" t="s">
        <v>4</v>
      </c>
      <c r="D223" t="s">
        <v>5</v>
      </c>
      <c r="E223">
        <v>742</v>
      </c>
    </row>
    <row r="224" spans="1:5">
      <c r="A224">
        <v>2026</v>
      </c>
      <c r="B224">
        <v>2606</v>
      </c>
      <c r="C224" t="s">
        <v>4</v>
      </c>
      <c r="D224" t="s">
        <v>12</v>
      </c>
      <c r="E224">
        <v>16</v>
      </c>
    </row>
    <row r="225" spans="1:5">
      <c r="A225">
        <v>2026</v>
      </c>
      <c r="B225">
        <v>2606</v>
      </c>
      <c r="C225" t="s">
        <v>4</v>
      </c>
      <c r="D225" t="s">
        <v>7</v>
      </c>
      <c r="E225">
        <v>1633</v>
      </c>
    </row>
    <row r="226" spans="1:5">
      <c r="A226">
        <v>2026</v>
      </c>
      <c r="B226">
        <v>2606</v>
      </c>
      <c r="C226" t="s">
        <v>4</v>
      </c>
      <c r="D226" t="s">
        <v>8</v>
      </c>
      <c r="E226">
        <v>83654</v>
      </c>
    </row>
    <row r="227" spans="1:5">
      <c r="A227">
        <v>2026</v>
      </c>
      <c r="B227">
        <v>2606</v>
      </c>
      <c r="C227" t="s">
        <v>4</v>
      </c>
      <c r="D227" t="s">
        <v>9</v>
      </c>
      <c r="E227">
        <v>5252</v>
      </c>
    </row>
    <row r="228" spans="1:5">
      <c r="A228">
        <v>2026</v>
      </c>
      <c r="B228">
        <v>2606</v>
      </c>
      <c r="C228" t="s">
        <v>4</v>
      </c>
      <c r="D228" t="s">
        <v>11</v>
      </c>
      <c r="E228">
        <v>109519</v>
      </c>
    </row>
    <row r="229" spans="1:5">
      <c r="A229">
        <v>2026</v>
      </c>
      <c r="B229">
        <v>2606</v>
      </c>
      <c r="C229" t="s">
        <v>4</v>
      </c>
      <c r="D229" t="s">
        <v>14</v>
      </c>
      <c r="E229">
        <v>17876</v>
      </c>
    </row>
    <row r="230" spans="1:5">
      <c r="A230">
        <v>2026</v>
      </c>
      <c r="B230">
        <v>2606</v>
      </c>
      <c r="C230" t="s">
        <v>4</v>
      </c>
      <c r="D230" t="s">
        <v>15</v>
      </c>
      <c r="E230">
        <v>448159</v>
      </c>
    </row>
    <row r="231" spans="1:5">
      <c r="A231">
        <v>2026</v>
      </c>
      <c r="B231">
        <v>2606</v>
      </c>
      <c r="C231" t="s">
        <v>4</v>
      </c>
      <c r="D231" t="s">
        <v>16</v>
      </c>
      <c r="E231">
        <v>25889</v>
      </c>
    </row>
    <row r="232" spans="1:5">
      <c r="A232">
        <v>2026</v>
      </c>
      <c r="B232">
        <v>2606</v>
      </c>
      <c r="C232" t="s">
        <v>4</v>
      </c>
      <c r="D232" t="s">
        <v>17</v>
      </c>
      <c r="E232">
        <v>725</v>
      </c>
    </row>
    <row r="233" spans="1:5">
      <c r="A233">
        <v>2026</v>
      </c>
      <c r="B233">
        <v>2606</v>
      </c>
      <c r="C233" t="s">
        <v>10</v>
      </c>
      <c r="D233" t="s">
        <v>5</v>
      </c>
      <c r="E233">
        <v>155035</v>
      </c>
    </row>
    <row r="234" spans="1:5">
      <c r="A234">
        <v>2026</v>
      </c>
      <c r="B234">
        <v>2606</v>
      </c>
      <c r="C234" t="s">
        <v>13</v>
      </c>
      <c r="D234" t="s">
        <v>8</v>
      </c>
      <c r="E234">
        <v>434065</v>
      </c>
    </row>
    <row r="235" spans="1:5">
      <c r="A235">
        <v>2026</v>
      </c>
      <c r="B235">
        <v>2606</v>
      </c>
      <c r="C235" t="s">
        <v>13</v>
      </c>
      <c r="D235" t="s">
        <v>18</v>
      </c>
      <c r="E235">
        <v>8543</v>
      </c>
    </row>
    <row r="236" spans="1:5">
      <c r="A236">
        <v>2026</v>
      </c>
      <c r="B236">
        <v>2606</v>
      </c>
      <c r="C236" t="s">
        <v>13</v>
      </c>
      <c r="D236" t="s">
        <v>14</v>
      </c>
      <c r="E236">
        <v>76092</v>
      </c>
    </row>
    <row r="237" spans="1:5">
      <c r="A237">
        <v>2026</v>
      </c>
      <c r="B237">
        <v>2606</v>
      </c>
      <c r="C237" t="s">
        <v>13</v>
      </c>
      <c r="D237" t="s">
        <v>19</v>
      </c>
      <c r="E237">
        <v>14520</v>
      </c>
    </row>
    <row r="238" spans="1:5">
      <c r="A238">
        <v>2026</v>
      </c>
      <c r="B238">
        <v>2606</v>
      </c>
      <c r="C238" t="s">
        <v>13</v>
      </c>
      <c r="D238" t="s">
        <v>20</v>
      </c>
      <c r="E238">
        <v>9098</v>
      </c>
    </row>
    <row r="239" spans="1:5">
      <c r="A239">
        <v>2026</v>
      </c>
      <c r="B239">
        <v>2606</v>
      </c>
      <c r="C239" t="s">
        <v>13</v>
      </c>
      <c r="D239" t="s">
        <v>15</v>
      </c>
      <c r="E239">
        <v>2</v>
      </c>
    </row>
    <row r="240" spans="1:5">
      <c r="A240">
        <v>2026</v>
      </c>
      <c r="B240">
        <v>2607</v>
      </c>
      <c r="C240" t="s">
        <v>4</v>
      </c>
      <c r="D240" t="s">
        <v>5</v>
      </c>
      <c r="E240">
        <v>1535</v>
      </c>
    </row>
    <row r="241" spans="1:5">
      <c r="A241">
        <v>2026</v>
      </c>
      <c r="B241">
        <v>2607</v>
      </c>
      <c r="C241" t="s">
        <v>4</v>
      </c>
      <c r="D241" t="s">
        <v>12</v>
      </c>
      <c r="E241">
        <v>6</v>
      </c>
    </row>
    <row r="242" spans="1:5">
      <c r="A242">
        <v>2026</v>
      </c>
      <c r="B242">
        <v>2607</v>
      </c>
      <c r="C242" t="s">
        <v>4</v>
      </c>
      <c r="D242" t="s">
        <v>7</v>
      </c>
      <c r="E242">
        <v>310</v>
      </c>
    </row>
    <row r="243" spans="1:5">
      <c r="A243">
        <v>2026</v>
      </c>
      <c r="B243">
        <v>2607</v>
      </c>
      <c r="C243" t="s">
        <v>4</v>
      </c>
      <c r="D243" t="s">
        <v>8</v>
      </c>
      <c r="E243">
        <v>92558</v>
      </c>
    </row>
    <row r="244" spans="1:5">
      <c r="A244">
        <v>2026</v>
      </c>
      <c r="B244">
        <v>2607</v>
      </c>
      <c r="C244" t="s">
        <v>4</v>
      </c>
      <c r="D244" t="s">
        <v>9</v>
      </c>
      <c r="E244">
        <v>6959</v>
      </c>
    </row>
    <row r="245" spans="1:5">
      <c r="A245">
        <v>2026</v>
      </c>
      <c r="B245">
        <v>2607</v>
      </c>
      <c r="C245" t="s">
        <v>4</v>
      </c>
      <c r="D245" t="s">
        <v>11</v>
      </c>
      <c r="E245">
        <v>100297</v>
      </c>
    </row>
    <row r="246" spans="1:5">
      <c r="A246">
        <v>2026</v>
      </c>
      <c r="B246">
        <v>2607</v>
      </c>
      <c r="C246" t="s">
        <v>4</v>
      </c>
      <c r="D246" t="s">
        <v>14</v>
      </c>
      <c r="E246">
        <v>24023</v>
      </c>
    </row>
    <row r="247" spans="1:5">
      <c r="A247">
        <v>2026</v>
      </c>
      <c r="B247">
        <v>2607</v>
      </c>
      <c r="C247" t="s">
        <v>4</v>
      </c>
      <c r="D247" t="s">
        <v>15</v>
      </c>
      <c r="E247">
        <v>455271</v>
      </c>
    </row>
    <row r="248" spans="1:5">
      <c r="A248">
        <v>2026</v>
      </c>
      <c r="B248">
        <v>2607</v>
      </c>
      <c r="C248" t="s">
        <v>4</v>
      </c>
      <c r="D248" t="s">
        <v>16</v>
      </c>
      <c r="E248">
        <v>35414</v>
      </c>
    </row>
    <row r="249" spans="1:5">
      <c r="A249">
        <v>2026</v>
      </c>
      <c r="B249">
        <v>2607</v>
      </c>
      <c r="C249" t="s">
        <v>4</v>
      </c>
      <c r="D249" t="s">
        <v>17</v>
      </c>
      <c r="E249">
        <v>856</v>
      </c>
    </row>
    <row r="250" spans="1:5">
      <c r="A250">
        <v>2026</v>
      </c>
      <c r="B250">
        <v>2607</v>
      </c>
      <c r="C250" t="s">
        <v>10</v>
      </c>
      <c r="D250" t="s">
        <v>5</v>
      </c>
      <c r="E250">
        <v>10061</v>
      </c>
    </row>
    <row r="251" spans="1:5">
      <c r="A251">
        <v>2026</v>
      </c>
      <c r="B251">
        <v>2607</v>
      </c>
      <c r="C251" t="s">
        <v>13</v>
      </c>
      <c r="D251" t="s">
        <v>8</v>
      </c>
      <c r="E251">
        <v>313242</v>
      </c>
    </row>
    <row r="252" spans="1:5">
      <c r="A252">
        <v>2026</v>
      </c>
      <c r="B252">
        <v>2607</v>
      </c>
      <c r="C252" t="s">
        <v>13</v>
      </c>
      <c r="D252" t="s">
        <v>18</v>
      </c>
      <c r="E252">
        <v>7976</v>
      </c>
    </row>
    <row r="253" spans="1:5">
      <c r="A253">
        <v>2026</v>
      </c>
      <c r="B253">
        <v>2607</v>
      </c>
      <c r="C253" t="s">
        <v>13</v>
      </c>
      <c r="D253" t="s">
        <v>14</v>
      </c>
      <c r="E253">
        <v>87185</v>
      </c>
    </row>
    <row r="254" spans="1:5">
      <c r="A254">
        <v>2026</v>
      </c>
      <c r="B254">
        <v>2607</v>
      </c>
      <c r="C254" t="s">
        <v>13</v>
      </c>
      <c r="D254" t="s">
        <v>19</v>
      </c>
      <c r="E254">
        <v>11194</v>
      </c>
    </row>
    <row r="255" spans="1:5">
      <c r="A255">
        <v>2026</v>
      </c>
      <c r="B255">
        <v>2607</v>
      </c>
      <c r="C255" t="s">
        <v>13</v>
      </c>
      <c r="D255" t="s">
        <v>20</v>
      </c>
      <c r="E255">
        <v>9100</v>
      </c>
    </row>
    <row r="256" spans="1:5">
      <c r="A256">
        <v>2026</v>
      </c>
      <c r="B256">
        <v>2607</v>
      </c>
      <c r="C256" t="s">
        <v>13</v>
      </c>
      <c r="D256" t="s">
        <v>15</v>
      </c>
      <c r="E256">
        <v>1</v>
      </c>
    </row>
    <row r="257" spans="1:5">
      <c r="A257">
        <v>2026</v>
      </c>
      <c r="B257">
        <v>2608</v>
      </c>
      <c r="C257" t="s">
        <v>4</v>
      </c>
      <c r="D257" t="s">
        <v>5</v>
      </c>
      <c r="E257">
        <v>5076</v>
      </c>
    </row>
    <row r="258" spans="1:5">
      <c r="A258">
        <v>2026</v>
      </c>
      <c r="B258">
        <v>2608</v>
      </c>
      <c r="C258" t="s">
        <v>4</v>
      </c>
      <c r="D258" t="s">
        <v>7</v>
      </c>
      <c r="E258">
        <v>1278</v>
      </c>
    </row>
    <row r="259" spans="1:5">
      <c r="A259">
        <v>2026</v>
      </c>
      <c r="B259">
        <v>2608</v>
      </c>
      <c r="C259" t="s">
        <v>4</v>
      </c>
      <c r="D259" t="s">
        <v>8</v>
      </c>
      <c r="E259">
        <v>80286</v>
      </c>
    </row>
    <row r="260" spans="1:5">
      <c r="A260">
        <v>2026</v>
      </c>
      <c r="B260">
        <v>2608</v>
      </c>
      <c r="C260" t="s">
        <v>4</v>
      </c>
      <c r="D260" t="s">
        <v>9</v>
      </c>
      <c r="E260">
        <v>7960</v>
      </c>
    </row>
    <row r="261" spans="1:5">
      <c r="A261">
        <v>2026</v>
      </c>
      <c r="B261">
        <v>2608</v>
      </c>
      <c r="C261" t="s">
        <v>4</v>
      </c>
      <c r="D261" t="s">
        <v>11</v>
      </c>
      <c r="E261">
        <v>99640</v>
      </c>
    </row>
    <row r="262" spans="1:5">
      <c r="A262">
        <v>2026</v>
      </c>
      <c r="B262">
        <v>2608</v>
      </c>
      <c r="C262" t="s">
        <v>4</v>
      </c>
      <c r="D262" t="s">
        <v>14</v>
      </c>
      <c r="E262">
        <v>23549</v>
      </c>
    </row>
    <row r="263" spans="1:5">
      <c r="A263">
        <v>2026</v>
      </c>
      <c r="B263">
        <v>2608</v>
      </c>
      <c r="C263" t="s">
        <v>4</v>
      </c>
      <c r="D263" t="s">
        <v>15</v>
      </c>
      <c r="E263">
        <v>487622</v>
      </c>
    </row>
    <row r="264" spans="1:5">
      <c r="A264">
        <v>2026</v>
      </c>
      <c r="B264">
        <v>2608</v>
      </c>
      <c r="C264" t="s">
        <v>4</v>
      </c>
      <c r="D264" t="s">
        <v>16</v>
      </c>
      <c r="E264">
        <v>39957</v>
      </c>
    </row>
    <row r="265" spans="1:5">
      <c r="A265">
        <v>2026</v>
      </c>
      <c r="B265">
        <v>2608</v>
      </c>
      <c r="C265" t="s">
        <v>4</v>
      </c>
      <c r="D265" t="s">
        <v>17</v>
      </c>
      <c r="E265">
        <v>229</v>
      </c>
    </row>
    <row r="266" spans="1:5">
      <c r="A266">
        <v>2026</v>
      </c>
      <c r="B266">
        <v>2608</v>
      </c>
      <c r="C266" t="s">
        <v>10</v>
      </c>
      <c r="D266" t="s">
        <v>5</v>
      </c>
      <c r="E266">
        <v>876972</v>
      </c>
    </row>
    <row r="267" spans="1:5">
      <c r="A267">
        <v>2026</v>
      </c>
      <c r="B267">
        <v>2608</v>
      </c>
      <c r="C267" t="s">
        <v>13</v>
      </c>
      <c r="D267" t="s">
        <v>12</v>
      </c>
      <c r="E267">
        <v>2</v>
      </c>
    </row>
    <row r="268" spans="1:5">
      <c r="A268">
        <v>2026</v>
      </c>
      <c r="B268">
        <v>2608</v>
      </c>
      <c r="C268" t="s">
        <v>13</v>
      </c>
      <c r="D268" t="s">
        <v>8</v>
      </c>
      <c r="E268">
        <v>232248</v>
      </c>
    </row>
    <row r="269" spans="1:5">
      <c r="A269">
        <v>2026</v>
      </c>
      <c r="B269">
        <v>2608</v>
      </c>
      <c r="C269" t="s">
        <v>13</v>
      </c>
      <c r="D269" t="s">
        <v>18</v>
      </c>
      <c r="E269">
        <v>8781</v>
      </c>
    </row>
    <row r="270" spans="1:5">
      <c r="A270">
        <v>2026</v>
      </c>
      <c r="B270">
        <v>2608</v>
      </c>
      <c r="C270" t="s">
        <v>13</v>
      </c>
      <c r="D270" t="s">
        <v>14</v>
      </c>
      <c r="E270">
        <v>87421</v>
      </c>
    </row>
    <row r="271" spans="1:5">
      <c r="A271">
        <v>2026</v>
      </c>
      <c r="B271">
        <v>2608</v>
      </c>
      <c r="C271" t="s">
        <v>13</v>
      </c>
      <c r="D271" t="s">
        <v>19</v>
      </c>
      <c r="E271">
        <v>13735</v>
      </c>
    </row>
    <row r="272" spans="1:5">
      <c r="A272">
        <v>2026</v>
      </c>
      <c r="B272">
        <v>2608</v>
      </c>
      <c r="C272" t="s">
        <v>13</v>
      </c>
      <c r="D272" t="s">
        <v>20</v>
      </c>
      <c r="E272">
        <v>10110</v>
      </c>
    </row>
    <row r="273" spans="1:5">
      <c r="A273">
        <v>2026</v>
      </c>
      <c r="B273">
        <v>2609</v>
      </c>
      <c r="C273" t="s">
        <v>4</v>
      </c>
      <c r="D273" t="s">
        <v>5</v>
      </c>
      <c r="E273">
        <v>20041</v>
      </c>
    </row>
    <row r="274" spans="1:5">
      <c r="A274">
        <v>2026</v>
      </c>
      <c r="B274">
        <v>2609</v>
      </c>
      <c r="C274" t="s">
        <v>4</v>
      </c>
      <c r="D274" t="s">
        <v>7</v>
      </c>
      <c r="E274">
        <v>3965</v>
      </c>
    </row>
    <row r="275" spans="1:5">
      <c r="A275">
        <v>2026</v>
      </c>
      <c r="B275">
        <v>2609</v>
      </c>
      <c r="C275" t="s">
        <v>4</v>
      </c>
      <c r="D275" t="s">
        <v>8</v>
      </c>
      <c r="E275">
        <v>103775</v>
      </c>
    </row>
    <row r="276" spans="1:5">
      <c r="A276">
        <v>2026</v>
      </c>
      <c r="B276">
        <v>2609</v>
      </c>
      <c r="C276" t="s">
        <v>4</v>
      </c>
      <c r="D276" t="s">
        <v>9</v>
      </c>
      <c r="E276">
        <v>14716</v>
      </c>
    </row>
    <row r="277" spans="1:5">
      <c r="A277">
        <v>2026</v>
      </c>
      <c r="B277">
        <v>2609</v>
      </c>
      <c r="C277" t="s">
        <v>4</v>
      </c>
      <c r="D277" t="s">
        <v>11</v>
      </c>
      <c r="E277">
        <v>162084</v>
      </c>
    </row>
    <row r="278" spans="1:5">
      <c r="A278">
        <v>2026</v>
      </c>
      <c r="B278">
        <v>2609</v>
      </c>
      <c r="C278" t="s">
        <v>4</v>
      </c>
      <c r="D278" t="s">
        <v>14</v>
      </c>
      <c r="E278">
        <v>22493</v>
      </c>
    </row>
    <row r="279" spans="1:5">
      <c r="A279">
        <v>2026</v>
      </c>
      <c r="B279">
        <v>2609</v>
      </c>
      <c r="C279" t="s">
        <v>4</v>
      </c>
      <c r="D279" t="s">
        <v>15</v>
      </c>
      <c r="E279">
        <v>624451</v>
      </c>
    </row>
    <row r="280" spans="1:5">
      <c r="A280">
        <v>2026</v>
      </c>
      <c r="B280">
        <v>2609</v>
      </c>
      <c r="C280" t="s">
        <v>4</v>
      </c>
      <c r="D280" t="s">
        <v>16</v>
      </c>
      <c r="E280">
        <v>28974</v>
      </c>
    </row>
    <row r="281" spans="1:5">
      <c r="A281">
        <v>2026</v>
      </c>
      <c r="B281">
        <v>2609</v>
      </c>
      <c r="C281" t="s">
        <v>4</v>
      </c>
      <c r="D281" t="s">
        <v>17</v>
      </c>
      <c r="E281">
        <v>287</v>
      </c>
    </row>
    <row r="282" spans="1:5">
      <c r="A282">
        <v>2026</v>
      </c>
      <c r="B282">
        <v>2609</v>
      </c>
      <c r="C282" t="s">
        <v>10</v>
      </c>
      <c r="D282" t="s">
        <v>5</v>
      </c>
      <c r="E282">
        <v>324671</v>
      </c>
    </row>
    <row r="283" spans="1:5">
      <c r="A283">
        <v>2026</v>
      </c>
      <c r="B283">
        <v>2609</v>
      </c>
      <c r="C283" t="s">
        <v>13</v>
      </c>
      <c r="D283" t="s">
        <v>8</v>
      </c>
      <c r="E283">
        <v>365292</v>
      </c>
    </row>
    <row r="284" spans="1:5">
      <c r="A284">
        <v>2026</v>
      </c>
      <c r="B284">
        <v>2609</v>
      </c>
      <c r="C284" t="s">
        <v>13</v>
      </c>
      <c r="D284" t="s">
        <v>18</v>
      </c>
      <c r="E284">
        <v>8874</v>
      </c>
    </row>
    <row r="285" spans="1:5">
      <c r="A285">
        <v>2026</v>
      </c>
      <c r="B285">
        <v>2609</v>
      </c>
      <c r="C285" t="s">
        <v>13</v>
      </c>
      <c r="D285" t="s">
        <v>14</v>
      </c>
      <c r="E285">
        <v>92047</v>
      </c>
    </row>
    <row r="286" spans="1:5">
      <c r="A286">
        <v>2026</v>
      </c>
      <c r="B286">
        <v>2609</v>
      </c>
      <c r="C286" t="s">
        <v>13</v>
      </c>
      <c r="D286" t="s">
        <v>19</v>
      </c>
      <c r="E286">
        <v>11806</v>
      </c>
    </row>
    <row r="287" spans="1:5">
      <c r="A287">
        <v>2026</v>
      </c>
      <c r="B287">
        <v>2609</v>
      </c>
      <c r="C287" t="s">
        <v>13</v>
      </c>
      <c r="D287" t="s">
        <v>20</v>
      </c>
      <c r="E287">
        <v>7648</v>
      </c>
    </row>
    <row r="288" spans="1:5">
      <c r="A288">
        <v>2026</v>
      </c>
      <c r="B288">
        <v>2609</v>
      </c>
      <c r="C288" t="s">
        <v>13</v>
      </c>
      <c r="D288" t="s">
        <v>15</v>
      </c>
      <c r="E288">
        <v>1</v>
      </c>
    </row>
  </sheetData>
  <pageMargins left="0.7" right="0.7" top="0.75" bottom="0.75" header="0.3" footer="0.3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94A03-6999-44BD-B21F-1B8C542A91E9}">
  <dimension ref="A1:O173"/>
  <sheetViews>
    <sheetView topLeftCell="C1" workbookViewId="0">
      <selection activeCell="L3" sqref="L3"/>
    </sheetView>
  </sheetViews>
  <sheetFormatPr defaultRowHeight="15"/>
  <cols>
    <col min="1" max="1" width="10.42578125" bestFit="1" customWidth="1"/>
    <col min="2" max="2" width="14.42578125" bestFit="1" customWidth="1"/>
    <col min="3" max="3" width="27.42578125" bestFit="1" customWidth="1"/>
    <col min="4" max="4" width="12" bestFit="1" customWidth="1"/>
    <col min="7" max="7" width="11.28515625" bestFit="1" customWidth="1"/>
    <col min="8" max="8" width="16.5703125" bestFit="1" customWidth="1"/>
    <col min="9" max="9" width="10" bestFit="1" customWidth="1"/>
    <col min="12" max="12" width="10.42578125" bestFit="1" customWidth="1"/>
    <col min="13" max="13" width="18.85546875" bestFit="1" customWidth="1"/>
    <col min="14" max="14" width="14.140625" customWidth="1"/>
    <col min="15" max="15" width="11" bestFit="1" customWidth="1"/>
  </cols>
  <sheetData>
    <row r="1" spans="1:15">
      <c r="A1" t="s">
        <v>65</v>
      </c>
    </row>
    <row r="2" spans="1:15">
      <c r="A2" t="s">
        <v>66</v>
      </c>
      <c r="B2" t="s">
        <v>1</v>
      </c>
      <c r="C2" t="s">
        <v>2</v>
      </c>
      <c r="D2" t="s">
        <v>3</v>
      </c>
      <c r="G2" t="s">
        <v>67</v>
      </c>
      <c r="L2" t="s">
        <v>68</v>
      </c>
    </row>
    <row r="3" spans="1:15">
      <c r="A3">
        <v>20260131</v>
      </c>
      <c r="B3" t="s">
        <v>4</v>
      </c>
      <c r="C3" t="s">
        <v>5</v>
      </c>
      <c r="D3">
        <v>1676583</v>
      </c>
      <c r="G3" s="1" t="s">
        <v>66</v>
      </c>
      <c r="H3" t="s">
        <v>6</v>
      </c>
      <c r="L3" t="s">
        <v>66</v>
      </c>
      <c r="M3" t="s">
        <v>6</v>
      </c>
      <c r="N3" t="s">
        <v>69</v>
      </c>
      <c r="O3" t="s">
        <v>70</v>
      </c>
    </row>
    <row r="4" spans="1:15">
      <c r="A4">
        <v>20260131</v>
      </c>
      <c r="B4" t="s">
        <v>4</v>
      </c>
      <c r="C4" t="s">
        <v>7</v>
      </c>
      <c r="D4">
        <v>85007</v>
      </c>
      <c r="G4">
        <v>20260131</v>
      </c>
      <c r="H4" s="5">
        <v>35112252</v>
      </c>
      <c r="I4" s="5"/>
      <c r="L4">
        <v>20260131</v>
      </c>
      <c r="M4" s="5">
        <v>35112252</v>
      </c>
      <c r="N4" s="5"/>
    </row>
    <row r="5" spans="1:15">
      <c r="A5">
        <v>20260131</v>
      </c>
      <c r="B5" t="s">
        <v>4</v>
      </c>
      <c r="C5" t="s">
        <v>8</v>
      </c>
      <c r="D5">
        <v>1831763</v>
      </c>
      <c r="G5">
        <v>20260228</v>
      </c>
      <c r="H5" s="5">
        <v>35205205</v>
      </c>
      <c r="I5" s="5"/>
      <c r="J5" s="6"/>
      <c r="L5">
        <v>20260228</v>
      </c>
      <c r="M5" s="5">
        <v>35205205</v>
      </c>
      <c r="N5" s="5">
        <v>92953</v>
      </c>
      <c r="O5" s="6">
        <v>2.6473095488150403E-3</v>
      </c>
    </row>
    <row r="6" spans="1:15">
      <c r="A6">
        <v>20260131</v>
      </c>
      <c r="B6" t="s">
        <v>4</v>
      </c>
      <c r="C6" t="s">
        <v>9</v>
      </c>
      <c r="D6">
        <v>157883</v>
      </c>
      <c r="G6">
        <v>20260331</v>
      </c>
      <c r="H6" s="5">
        <v>35336537</v>
      </c>
      <c r="I6" s="5"/>
      <c r="J6" s="6"/>
      <c r="L6">
        <v>20260331</v>
      </c>
      <c r="M6" s="5">
        <v>35336537</v>
      </c>
      <c r="N6" s="5">
        <v>131332</v>
      </c>
      <c r="O6" s="6">
        <v>3.730471105053926E-3</v>
      </c>
    </row>
    <row r="7" spans="1:15">
      <c r="A7">
        <v>20260131</v>
      </c>
      <c r="B7" t="s">
        <v>4</v>
      </c>
      <c r="C7" t="s">
        <v>11</v>
      </c>
      <c r="D7">
        <v>910590</v>
      </c>
      <c r="G7">
        <v>20260430</v>
      </c>
      <c r="H7" s="5">
        <v>35403929</v>
      </c>
      <c r="I7" s="5"/>
      <c r="J7" s="6"/>
      <c r="L7">
        <v>20260430</v>
      </c>
      <c r="M7" s="5">
        <v>35403929</v>
      </c>
      <c r="N7" s="5">
        <v>67392</v>
      </c>
      <c r="O7" s="6">
        <v>1.9071478339827131E-3</v>
      </c>
    </row>
    <row r="8" spans="1:15">
      <c r="A8">
        <v>20260131</v>
      </c>
      <c r="B8" t="s">
        <v>4</v>
      </c>
      <c r="C8" t="s">
        <v>14</v>
      </c>
      <c r="D8">
        <v>390635</v>
      </c>
      <c r="G8">
        <v>20260531</v>
      </c>
      <c r="H8" s="5">
        <v>35247716</v>
      </c>
      <c r="I8" s="5"/>
      <c r="J8" s="6"/>
      <c r="L8">
        <v>20260531</v>
      </c>
      <c r="M8" s="5">
        <v>35247716</v>
      </c>
      <c r="N8" s="5">
        <v>-156213</v>
      </c>
      <c r="O8" s="6">
        <v>-4.4123068939608372E-3</v>
      </c>
    </row>
    <row r="9" spans="1:15">
      <c r="A9">
        <v>20260131</v>
      </c>
      <c r="B9" t="s">
        <v>4</v>
      </c>
      <c r="C9" t="s">
        <v>15</v>
      </c>
      <c r="D9">
        <v>8165506</v>
      </c>
      <c r="G9">
        <v>20260630</v>
      </c>
      <c r="H9" s="5">
        <v>35840782</v>
      </c>
      <c r="I9" s="5"/>
      <c r="J9" s="6"/>
      <c r="L9">
        <v>20260630</v>
      </c>
      <c r="M9" s="5">
        <v>35840782</v>
      </c>
      <c r="N9" s="5">
        <v>593066</v>
      </c>
      <c r="O9" s="6">
        <v>1.6825657583033182E-2</v>
      </c>
    </row>
    <row r="10" spans="1:15">
      <c r="A10">
        <v>20260131</v>
      </c>
      <c r="B10" t="s">
        <v>4</v>
      </c>
      <c r="C10" t="s">
        <v>16</v>
      </c>
      <c r="D10">
        <v>497283</v>
      </c>
      <c r="G10">
        <v>20260731</v>
      </c>
      <c r="H10" s="5">
        <v>35456306</v>
      </c>
      <c r="I10" s="5"/>
      <c r="J10" s="6"/>
      <c r="L10">
        <v>20260731</v>
      </c>
      <c r="M10" s="5">
        <v>35456306</v>
      </c>
      <c r="N10" s="5">
        <v>-384476</v>
      </c>
      <c r="O10" s="6">
        <v>-1.0727332902501959E-2</v>
      </c>
    </row>
    <row r="11" spans="1:15">
      <c r="A11">
        <v>20260131</v>
      </c>
      <c r="B11" t="s">
        <v>4</v>
      </c>
      <c r="C11" t="s">
        <v>17</v>
      </c>
      <c r="D11">
        <v>33335</v>
      </c>
      <c r="G11">
        <v>20260831</v>
      </c>
      <c r="H11" s="5">
        <v>35474668</v>
      </c>
      <c r="I11" s="5"/>
      <c r="J11" s="6"/>
      <c r="L11">
        <v>20260831</v>
      </c>
      <c r="M11" s="5">
        <v>35474668</v>
      </c>
      <c r="N11" s="5">
        <v>18362</v>
      </c>
      <c r="O11" s="6">
        <v>5.1787684819732771E-4</v>
      </c>
    </row>
    <row r="12" spans="1:15">
      <c r="A12">
        <v>20260131</v>
      </c>
      <c r="B12" t="s">
        <v>10</v>
      </c>
      <c r="C12" t="s">
        <v>5</v>
      </c>
      <c r="D12">
        <v>8967941</v>
      </c>
      <c r="G12">
        <v>20260930</v>
      </c>
      <c r="H12" s="5">
        <v>35400777</v>
      </c>
      <c r="I12" s="5"/>
      <c r="J12" s="6"/>
      <c r="L12">
        <v>20260930</v>
      </c>
      <c r="M12" s="5">
        <v>35400777</v>
      </c>
      <c r="N12" s="5">
        <v>-73891</v>
      </c>
      <c r="O12" s="6">
        <v>-2.0829229465938906E-3</v>
      </c>
    </row>
    <row r="13" spans="1:15">
      <c r="A13">
        <v>20260131</v>
      </c>
      <c r="B13" t="s">
        <v>13</v>
      </c>
      <c r="C13" t="s">
        <v>12</v>
      </c>
      <c r="D13">
        <v>2404</v>
      </c>
      <c r="O13" s="6"/>
    </row>
    <row r="14" spans="1:15">
      <c r="A14">
        <v>20260131</v>
      </c>
      <c r="B14" t="s">
        <v>13</v>
      </c>
      <c r="C14" t="s">
        <v>8</v>
      </c>
      <c r="D14">
        <v>7979604</v>
      </c>
      <c r="L14" t="s">
        <v>71</v>
      </c>
    </row>
    <row r="15" spans="1:15" ht="15" customHeight="1">
      <c r="A15">
        <v>20260131</v>
      </c>
      <c r="B15" t="s">
        <v>13</v>
      </c>
      <c r="C15" t="s">
        <v>18</v>
      </c>
      <c r="D15">
        <v>136749</v>
      </c>
      <c r="L15" s="7" t="s">
        <v>72</v>
      </c>
      <c r="M15" s="7"/>
      <c r="N15" s="7"/>
      <c r="O15" s="7"/>
    </row>
    <row r="16" spans="1:15">
      <c r="A16">
        <v>20260131</v>
      </c>
      <c r="B16" t="s">
        <v>13</v>
      </c>
      <c r="C16" t="s">
        <v>14</v>
      </c>
      <c r="D16">
        <v>3008912</v>
      </c>
      <c r="L16" s="7"/>
      <c r="M16" s="7"/>
      <c r="N16" s="7"/>
      <c r="O16" s="7"/>
    </row>
    <row r="17" spans="1:15">
      <c r="A17">
        <v>20260131</v>
      </c>
      <c r="B17" t="s">
        <v>13</v>
      </c>
      <c r="C17" t="s">
        <v>19</v>
      </c>
      <c r="D17">
        <v>199536</v>
      </c>
      <c r="L17" s="7"/>
      <c r="M17" s="7"/>
      <c r="N17" s="7"/>
      <c r="O17" s="7"/>
    </row>
    <row r="18" spans="1:15">
      <c r="A18">
        <v>20260131</v>
      </c>
      <c r="B18" t="s">
        <v>13</v>
      </c>
      <c r="C18" t="s">
        <v>20</v>
      </c>
      <c r="D18">
        <v>95005</v>
      </c>
    </row>
    <row r="19" spans="1:15">
      <c r="A19">
        <v>20260131</v>
      </c>
      <c r="B19" t="s">
        <v>13</v>
      </c>
      <c r="C19" t="s">
        <v>15</v>
      </c>
      <c r="D19">
        <v>4</v>
      </c>
    </row>
    <row r="20" spans="1:15">
      <c r="A20">
        <v>20260131</v>
      </c>
      <c r="B20" t="s">
        <v>13</v>
      </c>
      <c r="C20" t="s">
        <v>21</v>
      </c>
      <c r="D20">
        <v>973506</v>
      </c>
    </row>
    <row r="21" spans="1:15">
      <c r="A21">
        <v>20260131</v>
      </c>
      <c r="B21" t="s">
        <v>13</v>
      </c>
      <c r="C21" t="s">
        <v>17</v>
      </c>
      <c r="D21">
        <v>6</v>
      </c>
    </row>
    <row r="22" spans="1:15">
      <c r="A22">
        <v>20260228</v>
      </c>
      <c r="B22" t="s">
        <v>4</v>
      </c>
      <c r="C22" t="s">
        <v>5</v>
      </c>
      <c r="D22">
        <v>1683706</v>
      </c>
    </row>
    <row r="23" spans="1:15">
      <c r="A23">
        <v>20260228</v>
      </c>
      <c r="B23" t="s">
        <v>4</v>
      </c>
      <c r="C23" t="s">
        <v>7</v>
      </c>
      <c r="D23">
        <v>85007</v>
      </c>
    </row>
    <row r="24" spans="1:15">
      <c r="A24">
        <v>20260228</v>
      </c>
      <c r="B24" t="s">
        <v>4</v>
      </c>
      <c r="C24" t="s">
        <v>8</v>
      </c>
      <c r="D24">
        <v>1868819</v>
      </c>
    </row>
    <row r="25" spans="1:15">
      <c r="A25">
        <v>20260228</v>
      </c>
      <c r="B25" t="s">
        <v>4</v>
      </c>
      <c r="C25" t="s">
        <v>9</v>
      </c>
      <c r="D25">
        <v>157638</v>
      </c>
    </row>
    <row r="26" spans="1:15">
      <c r="A26">
        <v>20260228</v>
      </c>
      <c r="B26" t="s">
        <v>4</v>
      </c>
      <c r="C26" t="s">
        <v>11</v>
      </c>
      <c r="D26">
        <v>875967</v>
      </c>
    </row>
    <row r="27" spans="1:15">
      <c r="A27">
        <v>20260228</v>
      </c>
      <c r="B27" t="s">
        <v>4</v>
      </c>
      <c r="C27" t="s">
        <v>14</v>
      </c>
      <c r="D27">
        <v>392037</v>
      </c>
    </row>
    <row r="28" spans="1:15">
      <c r="A28">
        <v>20260228</v>
      </c>
      <c r="B28" t="s">
        <v>4</v>
      </c>
      <c r="C28" t="s">
        <v>15</v>
      </c>
      <c r="D28">
        <v>8167114</v>
      </c>
    </row>
    <row r="29" spans="1:15">
      <c r="A29">
        <v>20260228</v>
      </c>
      <c r="B29" t="s">
        <v>4</v>
      </c>
      <c r="C29" t="s">
        <v>16</v>
      </c>
      <c r="D29">
        <v>504411</v>
      </c>
    </row>
    <row r="30" spans="1:15">
      <c r="A30">
        <v>20260228</v>
      </c>
      <c r="B30" t="s">
        <v>4</v>
      </c>
      <c r="C30" t="s">
        <v>17</v>
      </c>
      <c r="D30">
        <v>34116</v>
      </c>
    </row>
    <row r="31" spans="1:15">
      <c r="A31">
        <v>20260228</v>
      </c>
      <c r="B31" t="s">
        <v>10</v>
      </c>
      <c r="C31" t="s">
        <v>5</v>
      </c>
      <c r="D31">
        <v>8959878</v>
      </c>
    </row>
    <row r="32" spans="1:15">
      <c r="A32">
        <v>20260228</v>
      </c>
      <c r="B32" t="s">
        <v>13</v>
      </c>
      <c r="C32" t="s">
        <v>12</v>
      </c>
      <c r="D32">
        <v>3481</v>
      </c>
    </row>
    <row r="33" spans="1:4">
      <c r="A33">
        <v>20260228</v>
      </c>
      <c r="B33" t="s">
        <v>13</v>
      </c>
      <c r="C33" t="s">
        <v>8</v>
      </c>
      <c r="D33">
        <v>7992509</v>
      </c>
    </row>
    <row r="34" spans="1:4">
      <c r="A34">
        <v>20260228</v>
      </c>
      <c r="B34" t="s">
        <v>13</v>
      </c>
      <c r="C34" t="s">
        <v>18</v>
      </c>
      <c r="D34">
        <v>137319</v>
      </c>
    </row>
    <row r="35" spans="1:4">
      <c r="A35">
        <v>20260228</v>
      </c>
      <c r="B35" t="s">
        <v>13</v>
      </c>
      <c r="C35" t="s">
        <v>14</v>
      </c>
      <c r="D35">
        <v>3056963</v>
      </c>
    </row>
    <row r="36" spans="1:4">
      <c r="A36">
        <v>20260228</v>
      </c>
      <c r="B36" t="s">
        <v>13</v>
      </c>
      <c r="C36" t="s">
        <v>19</v>
      </c>
      <c r="D36">
        <v>200959</v>
      </c>
    </row>
    <row r="37" spans="1:4">
      <c r="A37">
        <v>20260228</v>
      </c>
      <c r="B37" t="s">
        <v>13</v>
      </c>
      <c r="C37" t="s">
        <v>20</v>
      </c>
      <c r="D37">
        <v>97907</v>
      </c>
    </row>
    <row r="38" spans="1:4">
      <c r="A38">
        <v>20260228</v>
      </c>
      <c r="B38" t="s">
        <v>13</v>
      </c>
      <c r="C38" t="s">
        <v>15</v>
      </c>
      <c r="D38">
        <v>4</v>
      </c>
    </row>
    <row r="39" spans="1:4">
      <c r="A39">
        <v>20260228</v>
      </c>
      <c r="B39" t="s">
        <v>13</v>
      </c>
      <c r="C39" t="s">
        <v>21</v>
      </c>
      <c r="D39">
        <v>987364</v>
      </c>
    </row>
    <row r="40" spans="1:4">
      <c r="A40">
        <v>20260228</v>
      </c>
      <c r="B40" t="s">
        <v>13</v>
      </c>
      <c r="C40" t="s">
        <v>17</v>
      </c>
      <c r="D40">
        <v>6</v>
      </c>
    </row>
    <row r="41" spans="1:4">
      <c r="A41">
        <v>20260331</v>
      </c>
      <c r="B41" t="s">
        <v>4</v>
      </c>
      <c r="C41" t="s">
        <v>5</v>
      </c>
      <c r="D41">
        <v>1833996</v>
      </c>
    </row>
    <row r="42" spans="1:4">
      <c r="A42">
        <v>20260331</v>
      </c>
      <c r="B42" t="s">
        <v>4</v>
      </c>
      <c r="C42" t="s">
        <v>7</v>
      </c>
      <c r="D42">
        <v>85614</v>
      </c>
    </row>
    <row r="43" spans="1:4">
      <c r="A43">
        <v>20260331</v>
      </c>
      <c r="B43" t="s">
        <v>4</v>
      </c>
      <c r="C43" t="s">
        <v>8</v>
      </c>
      <c r="D43">
        <v>1902453</v>
      </c>
    </row>
    <row r="44" spans="1:4">
      <c r="A44">
        <v>20260331</v>
      </c>
      <c r="B44" t="s">
        <v>4</v>
      </c>
      <c r="C44" t="s">
        <v>9</v>
      </c>
      <c r="D44">
        <v>154209</v>
      </c>
    </row>
    <row r="45" spans="1:4">
      <c r="A45">
        <v>20260331</v>
      </c>
      <c r="B45" t="s">
        <v>4</v>
      </c>
      <c r="C45" t="s">
        <v>11</v>
      </c>
      <c r="D45">
        <v>822455</v>
      </c>
    </row>
    <row r="46" spans="1:4">
      <c r="A46">
        <v>20260331</v>
      </c>
      <c r="B46" t="s">
        <v>4</v>
      </c>
      <c r="C46" t="s">
        <v>14</v>
      </c>
      <c r="D46">
        <v>397084</v>
      </c>
    </row>
    <row r="47" spans="1:4">
      <c r="A47">
        <v>20260331</v>
      </c>
      <c r="B47" t="s">
        <v>4</v>
      </c>
      <c r="C47" t="s">
        <v>15</v>
      </c>
      <c r="D47">
        <v>8126421</v>
      </c>
    </row>
    <row r="48" spans="1:4">
      <c r="A48">
        <v>20260331</v>
      </c>
      <c r="B48" t="s">
        <v>4</v>
      </c>
      <c r="C48" t="s">
        <v>16</v>
      </c>
      <c r="D48">
        <v>503369</v>
      </c>
    </row>
    <row r="49" spans="1:4">
      <c r="A49">
        <v>20260331</v>
      </c>
      <c r="B49" t="s">
        <v>4</v>
      </c>
      <c r="C49" t="s">
        <v>17</v>
      </c>
      <c r="D49">
        <v>34494</v>
      </c>
    </row>
    <row r="50" spans="1:4">
      <c r="A50">
        <v>20260331</v>
      </c>
      <c r="B50" t="s">
        <v>10</v>
      </c>
      <c r="C50" t="s">
        <v>5</v>
      </c>
      <c r="D50">
        <v>8957297</v>
      </c>
    </row>
    <row r="51" spans="1:4">
      <c r="A51">
        <v>20260331</v>
      </c>
      <c r="B51" t="s">
        <v>13</v>
      </c>
      <c r="C51" t="s">
        <v>12</v>
      </c>
      <c r="D51">
        <v>3510</v>
      </c>
    </row>
    <row r="52" spans="1:4">
      <c r="A52">
        <v>20260331</v>
      </c>
      <c r="B52" t="s">
        <v>13</v>
      </c>
      <c r="C52" t="s">
        <v>8</v>
      </c>
      <c r="D52">
        <v>7965350</v>
      </c>
    </row>
    <row r="53" spans="1:4">
      <c r="A53">
        <v>20260331</v>
      </c>
      <c r="B53" t="s">
        <v>13</v>
      </c>
      <c r="C53" t="s">
        <v>18</v>
      </c>
      <c r="D53">
        <v>135872</v>
      </c>
    </row>
    <row r="54" spans="1:4">
      <c r="A54">
        <v>20260331</v>
      </c>
      <c r="B54" t="s">
        <v>13</v>
      </c>
      <c r="C54" t="s">
        <v>14</v>
      </c>
      <c r="D54">
        <v>3116127</v>
      </c>
    </row>
    <row r="55" spans="1:4">
      <c r="A55">
        <v>20260331</v>
      </c>
      <c r="B55" t="s">
        <v>13</v>
      </c>
      <c r="C55" t="s">
        <v>19</v>
      </c>
      <c r="D55">
        <v>199710</v>
      </c>
    </row>
    <row r="56" spans="1:4">
      <c r="A56">
        <v>20260331</v>
      </c>
      <c r="B56" t="s">
        <v>13</v>
      </c>
      <c r="C56" t="s">
        <v>20</v>
      </c>
      <c r="D56">
        <v>98171</v>
      </c>
    </row>
    <row r="57" spans="1:4">
      <c r="A57">
        <v>20260331</v>
      </c>
      <c r="B57" t="s">
        <v>13</v>
      </c>
      <c r="C57" t="s">
        <v>15</v>
      </c>
      <c r="D57">
        <v>4</v>
      </c>
    </row>
    <row r="58" spans="1:4">
      <c r="A58">
        <v>20260331</v>
      </c>
      <c r="B58" t="s">
        <v>13</v>
      </c>
      <c r="C58" t="s">
        <v>21</v>
      </c>
      <c r="D58">
        <v>1000395</v>
      </c>
    </row>
    <row r="59" spans="1:4">
      <c r="A59">
        <v>20260331</v>
      </c>
      <c r="B59" t="s">
        <v>13</v>
      </c>
      <c r="C59" t="s">
        <v>17</v>
      </c>
      <c r="D59">
        <v>6</v>
      </c>
    </row>
    <row r="60" spans="1:4">
      <c r="A60">
        <v>20260430</v>
      </c>
      <c r="B60" t="s">
        <v>4</v>
      </c>
      <c r="C60" t="s">
        <v>5</v>
      </c>
      <c r="D60">
        <v>1848686</v>
      </c>
    </row>
    <row r="61" spans="1:4">
      <c r="A61">
        <v>20260430</v>
      </c>
      <c r="B61" t="s">
        <v>4</v>
      </c>
      <c r="C61" t="s">
        <v>7</v>
      </c>
      <c r="D61">
        <v>86308</v>
      </c>
    </row>
    <row r="62" spans="1:4">
      <c r="A62">
        <v>20260430</v>
      </c>
      <c r="B62" t="s">
        <v>4</v>
      </c>
      <c r="C62" t="s">
        <v>8</v>
      </c>
      <c r="D62">
        <v>1935137</v>
      </c>
    </row>
    <row r="63" spans="1:4">
      <c r="A63">
        <v>20260430</v>
      </c>
      <c r="B63" t="s">
        <v>4</v>
      </c>
      <c r="C63" t="s">
        <v>9</v>
      </c>
      <c r="D63">
        <v>149766</v>
      </c>
    </row>
    <row r="64" spans="1:4">
      <c r="A64">
        <v>20260430</v>
      </c>
      <c r="B64" t="s">
        <v>4</v>
      </c>
      <c r="C64" t="s">
        <v>11</v>
      </c>
      <c r="D64">
        <v>763588</v>
      </c>
    </row>
    <row r="65" spans="1:4">
      <c r="A65">
        <v>20260430</v>
      </c>
      <c r="B65" t="s">
        <v>4</v>
      </c>
      <c r="C65" t="s">
        <v>14</v>
      </c>
      <c r="D65">
        <v>399656</v>
      </c>
    </row>
    <row r="66" spans="1:4">
      <c r="A66">
        <v>20260430</v>
      </c>
      <c r="B66" t="s">
        <v>4</v>
      </c>
      <c r="C66" t="s">
        <v>15</v>
      </c>
      <c r="D66">
        <v>8152902</v>
      </c>
    </row>
    <row r="67" spans="1:4">
      <c r="A67">
        <v>20260430</v>
      </c>
      <c r="B67" t="s">
        <v>4</v>
      </c>
      <c r="C67" t="s">
        <v>16</v>
      </c>
      <c r="D67">
        <v>516505</v>
      </c>
    </row>
    <row r="68" spans="1:4">
      <c r="A68">
        <v>20260430</v>
      </c>
      <c r="B68" t="s">
        <v>4</v>
      </c>
      <c r="C68" t="s">
        <v>17</v>
      </c>
      <c r="D68">
        <v>34593</v>
      </c>
    </row>
    <row r="69" spans="1:4">
      <c r="A69">
        <v>20260430</v>
      </c>
      <c r="B69" t="s">
        <v>10</v>
      </c>
      <c r="C69" t="s">
        <v>5</v>
      </c>
      <c r="D69">
        <v>8953067</v>
      </c>
    </row>
    <row r="70" spans="1:4">
      <c r="A70">
        <v>20260430</v>
      </c>
      <c r="B70" t="s">
        <v>13</v>
      </c>
      <c r="C70" t="s">
        <v>12</v>
      </c>
      <c r="D70">
        <v>3584</v>
      </c>
    </row>
    <row r="71" spans="1:4">
      <c r="A71">
        <v>20260430</v>
      </c>
      <c r="B71" t="s">
        <v>13</v>
      </c>
      <c r="C71" t="s">
        <v>8</v>
      </c>
      <c r="D71">
        <v>7943863</v>
      </c>
    </row>
    <row r="72" spans="1:4">
      <c r="A72">
        <v>20260430</v>
      </c>
      <c r="B72" t="s">
        <v>13</v>
      </c>
      <c r="C72" t="s">
        <v>18</v>
      </c>
      <c r="D72">
        <v>134657</v>
      </c>
    </row>
    <row r="73" spans="1:4">
      <c r="A73">
        <v>20260430</v>
      </c>
      <c r="B73" t="s">
        <v>13</v>
      </c>
      <c r="C73" t="s">
        <v>14</v>
      </c>
      <c r="D73">
        <v>3168295</v>
      </c>
    </row>
    <row r="74" spans="1:4">
      <c r="A74">
        <v>20260430</v>
      </c>
      <c r="B74" t="s">
        <v>13</v>
      </c>
      <c r="C74" t="s">
        <v>19</v>
      </c>
      <c r="D74">
        <v>200111</v>
      </c>
    </row>
    <row r="75" spans="1:4">
      <c r="A75">
        <v>20260430</v>
      </c>
      <c r="B75" t="s">
        <v>13</v>
      </c>
      <c r="C75" t="s">
        <v>20</v>
      </c>
      <c r="D75">
        <v>100451</v>
      </c>
    </row>
    <row r="76" spans="1:4">
      <c r="A76">
        <v>20260430</v>
      </c>
      <c r="B76" t="s">
        <v>13</v>
      </c>
      <c r="C76" t="s">
        <v>15</v>
      </c>
      <c r="D76">
        <v>3</v>
      </c>
    </row>
    <row r="77" spans="1:4">
      <c r="A77">
        <v>20260430</v>
      </c>
      <c r="B77" t="s">
        <v>13</v>
      </c>
      <c r="C77" t="s">
        <v>21</v>
      </c>
      <c r="D77">
        <v>1012751</v>
      </c>
    </row>
    <row r="78" spans="1:4">
      <c r="A78">
        <v>20260430</v>
      </c>
      <c r="B78" t="s">
        <v>13</v>
      </c>
      <c r="C78" t="s">
        <v>17</v>
      </c>
      <c r="D78">
        <v>6</v>
      </c>
    </row>
    <row r="79" spans="1:4">
      <c r="A79">
        <v>20260531</v>
      </c>
      <c r="B79" t="s">
        <v>4</v>
      </c>
      <c r="C79" t="s">
        <v>5</v>
      </c>
      <c r="D79">
        <v>1853261</v>
      </c>
    </row>
    <row r="80" spans="1:4">
      <c r="A80">
        <v>20260531</v>
      </c>
      <c r="B80" t="s">
        <v>4</v>
      </c>
      <c r="C80" t="s">
        <v>7</v>
      </c>
      <c r="D80">
        <v>86171</v>
      </c>
    </row>
    <row r="81" spans="1:4">
      <c r="A81">
        <v>20260531</v>
      </c>
      <c r="B81" t="s">
        <v>4</v>
      </c>
      <c r="C81" t="s">
        <v>8</v>
      </c>
      <c r="D81">
        <v>1950513</v>
      </c>
    </row>
    <row r="82" spans="1:4">
      <c r="A82">
        <v>20260531</v>
      </c>
      <c r="B82" t="s">
        <v>4</v>
      </c>
      <c r="C82" t="s">
        <v>9</v>
      </c>
      <c r="D82">
        <v>146676</v>
      </c>
    </row>
    <row r="83" spans="1:4">
      <c r="A83">
        <v>20260531</v>
      </c>
      <c r="B83" t="s">
        <v>4</v>
      </c>
      <c r="C83" t="s">
        <v>11</v>
      </c>
      <c r="D83">
        <v>705867</v>
      </c>
    </row>
    <row r="84" spans="1:4">
      <c r="A84">
        <v>20260531</v>
      </c>
      <c r="B84" t="s">
        <v>4</v>
      </c>
      <c r="C84" t="s">
        <v>14</v>
      </c>
      <c r="D84">
        <v>397555</v>
      </c>
    </row>
    <row r="85" spans="1:4">
      <c r="A85">
        <v>20260531</v>
      </c>
      <c r="B85" t="s">
        <v>4</v>
      </c>
      <c r="C85" t="s">
        <v>15</v>
      </c>
      <c r="D85">
        <v>8091536</v>
      </c>
    </row>
    <row r="86" spans="1:4">
      <c r="A86">
        <v>20260531</v>
      </c>
      <c r="B86" t="s">
        <v>4</v>
      </c>
      <c r="C86" t="s">
        <v>16</v>
      </c>
      <c r="D86">
        <v>529041</v>
      </c>
    </row>
    <row r="87" spans="1:4">
      <c r="A87">
        <v>20260531</v>
      </c>
      <c r="B87" t="s">
        <v>4</v>
      </c>
      <c r="C87" t="s">
        <v>17</v>
      </c>
      <c r="D87">
        <v>34949</v>
      </c>
    </row>
    <row r="88" spans="1:4">
      <c r="A88">
        <v>20260531</v>
      </c>
      <c r="B88" t="s">
        <v>10</v>
      </c>
      <c r="C88" t="s">
        <v>5</v>
      </c>
      <c r="D88">
        <v>8945691</v>
      </c>
    </row>
    <row r="89" spans="1:4">
      <c r="A89">
        <v>20260531</v>
      </c>
      <c r="B89" t="s">
        <v>13</v>
      </c>
      <c r="C89" t="s">
        <v>12</v>
      </c>
      <c r="D89">
        <v>3602</v>
      </c>
    </row>
    <row r="90" spans="1:4">
      <c r="A90">
        <v>20260531</v>
      </c>
      <c r="B90" t="s">
        <v>13</v>
      </c>
      <c r="C90" t="s">
        <v>8</v>
      </c>
      <c r="D90">
        <v>7870817</v>
      </c>
    </row>
    <row r="91" spans="1:4">
      <c r="A91">
        <v>20260531</v>
      </c>
      <c r="B91" t="s">
        <v>13</v>
      </c>
      <c r="C91" t="s">
        <v>18</v>
      </c>
      <c r="D91">
        <v>132895</v>
      </c>
    </row>
    <row r="92" spans="1:4">
      <c r="A92">
        <v>20260531</v>
      </c>
      <c r="B92" t="s">
        <v>13</v>
      </c>
      <c r="C92" t="s">
        <v>14</v>
      </c>
      <c r="D92">
        <v>3196815</v>
      </c>
    </row>
    <row r="93" spans="1:4">
      <c r="A93">
        <v>20260531</v>
      </c>
      <c r="B93" t="s">
        <v>13</v>
      </c>
      <c r="C93" t="s">
        <v>19</v>
      </c>
      <c r="D93">
        <v>197543</v>
      </c>
    </row>
    <row r="94" spans="1:4">
      <c r="A94">
        <v>20260531</v>
      </c>
      <c r="B94" t="s">
        <v>13</v>
      </c>
      <c r="C94" t="s">
        <v>20</v>
      </c>
      <c r="D94">
        <v>103298</v>
      </c>
    </row>
    <row r="95" spans="1:4">
      <c r="A95">
        <v>20260531</v>
      </c>
      <c r="B95" t="s">
        <v>13</v>
      </c>
      <c r="C95" t="s">
        <v>15</v>
      </c>
      <c r="D95">
        <v>2</v>
      </c>
    </row>
    <row r="96" spans="1:4">
      <c r="A96">
        <v>20260531</v>
      </c>
      <c r="B96" t="s">
        <v>13</v>
      </c>
      <c r="C96" t="s">
        <v>21</v>
      </c>
      <c r="D96">
        <v>1001478</v>
      </c>
    </row>
    <row r="97" spans="1:4">
      <c r="A97">
        <v>20260531</v>
      </c>
      <c r="B97" t="s">
        <v>13</v>
      </c>
      <c r="C97" t="s">
        <v>17</v>
      </c>
      <c r="D97">
        <v>6</v>
      </c>
    </row>
    <row r="98" spans="1:4">
      <c r="A98">
        <v>20260630</v>
      </c>
      <c r="B98" t="s">
        <v>4</v>
      </c>
      <c r="C98" t="s">
        <v>5</v>
      </c>
      <c r="D98">
        <v>1991117</v>
      </c>
    </row>
    <row r="99" spans="1:4">
      <c r="A99">
        <v>20260630</v>
      </c>
      <c r="B99" t="s">
        <v>4</v>
      </c>
      <c r="C99" t="s">
        <v>7</v>
      </c>
      <c r="D99">
        <v>2736</v>
      </c>
    </row>
    <row r="100" spans="1:4">
      <c r="A100">
        <v>20260630</v>
      </c>
      <c r="B100" t="s">
        <v>4</v>
      </c>
      <c r="C100" t="s">
        <v>8</v>
      </c>
      <c r="D100">
        <v>2007871</v>
      </c>
    </row>
    <row r="101" spans="1:4">
      <c r="A101">
        <v>20260630</v>
      </c>
      <c r="B101" t="s">
        <v>4</v>
      </c>
      <c r="C101" t="s">
        <v>9</v>
      </c>
      <c r="D101">
        <v>143143</v>
      </c>
    </row>
    <row r="102" spans="1:4">
      <c r="A102">
        <v>20260630</v>
      </c>
      <c r="B102" t="s">
        <v>4</v>
      </c>
      <c r="C102" t="s">
        <v>11</v>
      </c>
      <c r="D102">
        <v>685052</v>
      </c>
    </row>
    <row r="103" spans="1:4">
      <c r="A103">
        <v>20260630</v>
      </c>
      <c r="B103" t="s">
        <v>4</v>
      </c>
      <c r="C103" t="s">
        <v>14</v>
      </c>
      <c r="D103">
        <v>405089</v>
      </c>
    </row>
    <row r="104" spans="1:4">
      <c r="A104">
        <v>20260630</v>
      </c>
      <c r="B104" t="s">
        <v>4</v>
      </c>
      <c r="C104" t="s">
        <v>15</v>
      </c>
      <c r="D104">
        <v>8315618</v>
      </c>
    </row>
    <row r="105" spans="1:4">
      <c r="A105">
        <v>20260630</v>
      </c>
      <c r="B105" t="s">
        <v>4</v>
      </c>
      <c r="C105" t="s">
        <v>16</v>
      </c>
      <c r="D105">
        <v>532237</v>
      </c>
    </row>
    <row r="106" spans="1:4">
      <c r="A106">
        <v>20260630</v>
      </c>
      <c r="B106" t="s">
        <v>4</v>
      </c>
      <c r="C106" t="s">
        <v>17</v>
      </c>
      <c r="D106">
        <v>35156</v>
      </c>
    </row>
    <row r="107" spans="1:4">
      <c r="A107">
        <v>20260630</v>
      </c>
      <c r="B107" t="s">
        <v>10</v>
      </c>
      <c r="C107" t="s">
        <v>5</v>
      </c>
      <c r="D107">
        <v>8940751</v>
      </c>
    </row>
    <row r="108" spans="1:4">
      <c r="A108">
        <v>20260630</v>
      </c>
      <c r="B108" t="s">
        <v>13</v>
      </c>
      <c r="C108" t="s">
        <v>12</v>
      </c>
      <c r="D108">
        <v>3737</v>
      </c>
    </row>
    <row r="109" spans="1:4">
      <c r="A109">
        <v>20260630</v>
      </c>
      <c r="B109" t="s">
        <v>13</v>
      </c>
      <c r="C109" t="s">
        <v>8</v>
      </c>
      <c r="D109">
        <v>7998680</v>
      </c>
    </row>
    <row r="110" spans="1:4">
      <c r="A110">
        <v>20260630</v>
      </c>
      <c r="B110" t="s">
        <v>13</v>
      </c>
      <c r="C110" t="s">
        <v>18</v>
      </c>
      <c r="D110">
        <v>135802</v>
      </c>
    </row>
    <row r="111" spans="1:4">
      <c r="A111">
        <v>20260630</v>
      </c>
      <c r="B111" t="s">
        <v>13</v>
      </c>
      <c r="C111" t="s">
        <v>14</v>
      </c>
      <c r="D111">
        <v>3289139</v>
      </c>
    </row>
    <row r="112" spans="1:4">
      <c r="A112">
        <v>20260630</v>
      </c>
      <c r="B112" t="s">
        <v>13</v>
      </c>
      <c r="C112" t="s">
        <v>19</v>
      </c>
      <c r="D112">
        <v>201768</v>
      </c>
    </row>
    <row r="113" spans="1:4">
      <c r="A113">
        <v>20260630</v>
      </c>
      <c r="B113" t="s">
        <v>13</v>
      </c>
      <c r="C113" t="s">
        <v>20</v>
      </c>
      <c r="D113">
        <v>107257</v>
      </c>
    </row>
    <row r="114" spans="1:4">
      <c r="A114">
        <v>20260630</v>
      </c>
      <c r="B114" t="s">
        <v>13</v>
      </c>
      <c r="C114" t="s">
        <v>15</v>
      </c>
      <c r="D114">
        <v>2</v>
      </c>
    </row>
    <row r="115" spans="1:4">
      <c r="A115">
        <v>20260630</v>
      </c>
      <c r="B115" t="s">
        <v>13</v>
      </c>
      <c r="C115" t="s">
        <v>21</v>
      </c>
      <c r="D115">
        <v>1045621</v>
      </c>
    </row>
    <row r="116" spans="1:4">
      <c r="A116">
        <v>20260630</v>
      </c>
      <c r="B116" t="s">
        <v>13</v>
      </c>
      <c r="C116" t="s">
        <v>17</v>
      </c>
      <c r="D116">
        <v>6</v>
      </c>
    </row>
    <row r="117" spans="1:4">
      <c r="A117">
        <v>20260731</v>
      </c>
      <c r="B117" t="s">
        <v>4</v>
      </c>
      <c r="C117" t="s">
        <v>5</v>
      </c>
      <c r="D117">
        <v>1990060</v>
      </c>
    </row>
    <row r="118" spans="1:4">
      <c r="A118">
        <v>20260731</v>
      </c>
      <c r="B118" t="s">
        <v>4</v>
      </c>
      <c r="C118" t="s">
        <v>7</v>
      </c>
      <c r="D118">
        <v>4017</v>
      </c>
    </row>
    <row r="119" spans="1:4">
      <c r="A119">
        <v>20260731</v>
      </c>
      <c r="B119" t="s">
        <v>4</v>
      </c>
      <c r="C119" t="s">
        <v>8</v>
      </c>
      <c r="D119">
        <v>2000821</v>
      </c>
    </row>
    <row r="120" spans="1:4">
      <c r="A120">
        <v>20260731</v>
      </c>
      <c r="B120" t="s">
        <v>4</v>
      </c>
      <c r="C120" t="s">
        <v>9</v>
      </c>
      <c r="D120">
        <v>141574</v>
      </c>
    </row>
    <row r="121" spans="1:4">
      <c r="A121">
        <v>20260731</v>
      </c>
      <c r="B121" t="s">
        <v>4</v>
      </c>
      <c r="C121" t="s">
        <v>11</v>
      </c>
      <c r="D121">
        <v>615627</v>
      </c>
    </row>
    <row r="122" spans="1:4">
      <c r="A122">
        <v>20260731</v>
      </c>
      <c r="B122" t="s">
        <v>4</v>
      </c>
      <c r="C122" t="s">
        <v>14</v>
      </c>
      <c r="D122">
        <v>396754</v>
      </c>
    </row>
    <row r="123" spans="1:4">
      <c r="A123">
        <v>20260731</v>
      </c>
      <c r="B123" t="s">
        <v>4</v>
      </c>
      <c r="C123" t="s">
        <v>15</v>
      </c>
      <c r="D123">
        <v>8091350</v>
      </c>
    </row>
    <row r="124" spans="1:4">
      <c r="A124">
        <v>20260731</v>
      </c>
      <c r="B124" t="s">
        <v>4</v>
      </c>
      <c r="C124" t="s">
        <v>16</v>
      </c>
      <c r="D124">
        <v>540899</v>
      </c>
    </row>
    <row r="125" spans="1:4">
      <c r="A125">
        <v>20260731</v>
      </c>
      <c r="B125" t="s">
        <v>4</v>
      </c>
      <c r="C125" t="s">
        <v>17</v>
      </c>
      <c r="D125">
        <v>35511</v>
      </c>
    </row>
    <row r="126" spans="1:4">
      <c r="A126">
        <v>20260731</v>
      </c>
      <c r="B126" t="s">
        <v>10</v>
      </c>
      <c r="C126" t="s">
        <v>5</v>
      </c>
      <c r="D126">
        <v>8950313</v>
      </c>
    </row>
    <row r="127" spans="1:4">
      <c r="A127">
        <v>20260731</v>
      </c>
      <c r="B127" t="s">
        <v>13</v>
      </c>
      <c r="C127" t="s">
        <v>12</v>
      </c>
      <c r="D127">
        <v>3818</v>
      </c>
    </row>
    <row r="128" spans="1:4">
      <c r="A128">
        <v>20260731</v>
      </c>
      <c r="B128" t="s">
        <v>13</v>
      </c>
      <c r="C128" t="s">
        <v>8</v>
      </c>
      <c r="D128">
        <v>7902643</v>
      </c>
    </row>
    <row r="129" spans="1:4">
      <c r="A129">
        <v>20260731</v>
      </c>
      <c r="B129" t="s">
        <v>13</v>
      </c>
      <c r="C129" t="s">
        <v>18</v>
      </c>
      <c r="D129">
        <v>135013</v>
      </c>
    </row>
    <row r="130" spans="1:4">
      <c r="A130">
        <v>20260731</v>
      </c>
      <c r="B130" t="s">
        <v>13</v>
      </c>
      <c r="C130" t="s">
        <v>14</v>
      </c>
      <c r="D130">
        <v>3329016</v>
      </c>
    </row>
    <row r="131" spans="1:4">
      <c r="A131">
        <v>20260731</v>
      </c>
      <c r="B131" t="s">
        <v>13</v>
      </c>
      <c r="C131" t="s">
        <v>19</v>
      </c>
      <c r="D131">
        <v>199044</v>
      </c>
    </row>
    <row r="132" spans="1:4">
      <c r="A132">
        <v>20260731</v>
      </c>
      <c r="B132" t="s">
        <v>13</v>
      </c>
      <c r="C132" t="s">
        <v>20</v>
      </c>
      <c r="D132">
        <v>110909</v>
      </c>
    </row>
    <row r="133" spans="1:4">
      <c r="A133">
        <v>20260731</v>
      </c>
      <c r="B133" t="s">
        <v>13</v>
      </c>
      <c r="C133" t="s">
        <v>15</v>
      </c>
      <c r="D133">
        <v>1</v>
      </c>
    </row>
    <row r="134" spans="1:4">
      <c r="A134">
        <v>20260731</v>
      </c>
      <c r="B134" t="s">
        <v>13</v>
      </c>
      <c r="C134" t="s">
        <v>21</v>
      </c>
      <c r="D134">
        <v>1008930</v>
      </c>
    </row>
    <row r="135" spans="1:4">
      <c r="A135">
        <v>20260731</v>
      </c>
      <c r="B135" t="s">
        <v>13</v>
      </c>
      <c r="C135" t="s">
        <v>17</v>
      </c>
      <c r="D135">
        <v>6</v>
      </c>
    </row>
    <row r="136" spans="1:4">
      <c r="A136">
        <v>20260831</v>
      </c>
      <c r="B136" t="s">
        <v>4</v>
      </c>
      <c r="C136" t="s">
        <v>5</v>
      </c>
      <c r="D136">
        <v>1996182</v>
      </c>
    </row>
    <row r="137" spans="1:4">
      <c r="A137">
        <v>20260831</v>
      </c>
      <c r="B137" t="s">
        <v>4</v>
      </c>
      <c r="C137" t="s">
        <v>7</v>
      </c>
      <c r="D137">
        <v>3854</v>
      </c>
    </row>
    <row r="138" spans="1:4">
      <c r="A138">
        <v>20260831</v>
      </c>
      <c r="B138" t="s">
        <v>4</v>
      </c>
      <c r="C138" t="s">
        <v>8</v>
      </c>
      <c r="D138">
        <v>2017395</v>
      </c>
    </row>
    <row r="139" spans="1:4">
      <c r="A139">
        <v>20260831</v>
      </c>
      <c r="B139" t="s">
        <v>4</v>
      </c>
      <c r="C139" t="s">
        <v>9</v>
      </c>
      <c r="D139">
        <v>137945</v>
      </c>
    </row>
    <row r="140" spans="1:4">
      <c r="A140">
        <v>20260831</v>
      </c>
      <c r="B140" t="s">
        <v>4</v>
      </c>
      <c r="C140" t="s">
        <v>11</v>
      </c>
      <c r="D140">
        <v>569921</v>
      </c>
    </row>
    <row r="141" spans="1:4">
      <c r="A141">
        <v>20260831</v>
      </c>
      <c r="B141" t="s">
        <v>4</v>
      </c>
      <c r="C141" t="s">
        <v>14</v>
      </c>
      <c r="D141">
        <v>394329</v>
      </c>
    </row>
    <row r="142" spans="1:4">
      <c r="A142">
        <v>20260831</v>
      </c>
      <c r="B142" t="s">
        <v>4</v>
      </c>
      <c r="C142" t="s">
        <v>15</v>
      </c>
      <c r="D142">
        <v>8034855</v>
      </c>
    </row>
    <row r="143" spans="1:4">
      <c r="A143">
        <v>20260831</v>
      </c>
      <c r="B143" t="s">
        <v>4</v>
      </c>
      <c r="C143" t="s">
        <v>16</v>
      </c>
      <c r="D143">
        <v>547154</v>
      </c>
    </row>
    <row r="144" spans="1:4">
      <c r="A144">
        <v>20260831</v>
      </c>
      <c r="B144" t="s">
        <v>4</v>
      </c>
      <c r="C144" t="s">
        <v>17</v>
      </c>
      <c r="D144">
        <v>36177</v>
      </c>
    </row>
    <row r="145" spans="1:4">
      <c r="A145">
        <v>20260831</v>
      </c>
      <c r="B145" t="s">
        <v>10</v>
      </c>
      <c r="C145" t="s">
        <v>5</v>
      </c>
      <c r="D145">
        <v>8945700</v>
      </c>
    </row>
    <row r="146" spans="1:4">
      <c r="A146">
        <v>20260831</v>
      </c>
      <c r="B146" t="s">
        <v>13</v>
      </c>
      <c r="C146" t="s">
        <v>12</v>
      </c>
      <c r="D146">
        <v>3864</v>
      </c>
    </row>
    <row r="147" spans="1:4">
      <c r="A147">
        <v>20260831</v>
      </c>
      <c r="B147" t="s">
        <v>13</v>
      </c>
      <c r="C147" t="s">
        <v>8</v>
      </c>
      <c r="D147">
        <v>7928772</v>
      </c>
    </row>
    <row r="148" spans="1:4">
      <c r="A148">
        <v>20260831</v>
      </c>
      <c r="B148" t="s">
        <v>13</v>
      </c>
      <c r="C148" t="s">
        <v>18</v>
      </c>
      <c r="D148">
        <v>136623</v>
      </c>
    </row>
    <row r="149" spans="1:4">
      <c r="A149">
        <v>20260831</v>
      </c>
      <c r="B149" t="s">
        <v>13</v>
      </c>
      <c r="C149" t="s">
        <v>14</v>
      </c>
      <c r="D149">
        <v>3389415</v>
      </c>
    </row>
    <row r="150" spans="1:4">
      <c r="A150">
        <v>20260831</v>
      </c>
      <c r="B150" t="s">
        <v>13</v>
      </c>
      <c r="C150" t="s">
        <v>19</v>
      </c>
      <c r="D150">
        <v>200824</v>
      </c>
    </row>
    <row r="151" spans="1:4">
      <c r="A151">
        <v>20260831</v>
      </c>
      <c r="B151" t="s">
        <v>13</v>
      </c>
      <c r="C151" t="s">
        <v>20</v>
      </c>
      <c r="D151">
        <v>112894</v>
      </c>
    </row>
    <row r="152" spans="1:4">
      <c r="A152">
        <v>20260831</v>
      </c>
      <c r="B152" t="s">
        <v>13</v>
      </c>
      <c r="C152" t="s">
        <v>15</v>
      </c>
      <c r="D152">
        <v>1</v>
      </c>
    </row>
    <row r="153" spans="1:4">
      <c r="A153">
        <v>20260831</v>
      </c>
      <c r="B153" t="s">
        <v>13</v>
      </c>
      <c r="C153" t="s">
        <v>21</v>
      </c>
      <c r="D153">
        <v>1018757</v>
      </c>
    </row>
    <row r="154" spans="1:4">
      <c r="A154">
        <v>20260831</v>
      </c>
      <c r="B154" t="s">
        <v>13</v>
      </c>
      <c r="C154" t="s">
        <v>17</v>
      </c>
      <c r="D154">
        <v>6</v>
      </c>
    </row>
    <row r="155" spans="1:4">
      <c r="A155">
        <v>20260930</v>
      </c>
      <c r="B155" t="s">
        <v>4</v>
      </c>
      <c r="C155" t="s">
        <v>5</v>
      </c>
      <c r="D155">
        <v>2000255</v>
      </c>
    </row>
    <row r="156" spans="1:4">
      <c r="A156">
        <v>20260930</v>
      </c>
      <c r="B156" t="s">
        <v>4</v>
      </c>
      <c r="C156" t="s">
        <v>7</v>
      </c>
      <c r="D156">
        <v>3892</v>
      </c>
    </row>
    <row r="157" spans="1:4">
      <c r="A157">
        <v>20260930</v>
      </c>
      <c r="B157" t="s">
        <v>4</v>
      </c>
      <c r="C157" t="s">
        <v>8</v>
      </c>
      <c r="D157">
        <v>2013676</v>
      </c>
    </row>
    <row r="158" spans="1:4">
      <c r="A158">
        <v>20260930</v>
      </c>
      <c r="B158" t="s">
        <v>4</v>
      </c>
      <c r="C158" t="s">
        <v>9</v>
      </c>
      <c r="D158">
        <v>133646</v>
      </c>
    </row>
    <row r="159" spans="1:4">
      <c r="A159">
        <v>20260930</v>
      </c>
      <c r="B159" t="s">
        <v>4</v>
      </c>
      <c r="C159" t="s">
        <v>11</v>
      </c>
      <c r="D159">
        <v>523466</v>
      </c>
    </row>
    <row r="160" spans="1:4">
      <c r="A160">
        <v>20260930</v>
      </c>
      <c r="B160" t="s">
        <v>4</v>
      </c>
      <c r="C160" t="s">
        <v>14</v>
      </c>
      <c r="D160">
        <v>386438</v>
      </c>
    </row>
    <row r="161" spans="1:4">
      <c r="A161">
        <v>20260930</v>
      </c>
      <c r="B161" t="s">
        <v>4</v>
      </c>
      <c r="C161" t="s">
        <v>15</v>
      </c>
      <c r="D161">
        <v>7974683</v>
      </c>
    </row>
    <row r="162" spans="1:4">
      <c r="A162">
        <v>20260930</v>
      </c>
      <c r="B162" t="s">
        <v>4</v>
      </c>
      <c r="C162" t="s">
        <v>16</v>
      </c>
      <c r="D162">
        <v>543113</v>
      </c>
    </row>
    <row r="163" spans="1:4">
      <c r="A163">
        <v>20260930</v>
      </c>
      <c r="B163" t="s">
        <v>4</v>
      </c>
      <c r="C163" t="s">
        <v>17</v>
      </c>
      <c r="D163">
        <v>37899</v>
      </c>
    </row>
    <row r="164" spans="1:4">
      <c r="A164">
        <v>20260930</v>
      </c>
      <c r="B164" t="s">
        <v>10</v>
      </c>
      <c r="C164" t="s">
        <v>5</v>
      </c>
      <c r="D164">
        <v>8939694</v>
      </c>
    </row>
    <row r="165" spans="1:4">
      <c r="A165">
        <v>20260930</v>
      </c>
      <c r="B165" t="s">
        <v>13</v>
      </c>
      <c r="C165" t="s">
        <v>12</v>
      </c>
      <c r="D165">
        <v>4006</v>
      </c>
    </row>
    <row r="166" spans="1:4">
      <c r="A166">
        <v>20260930</v>
      </c>
      <c r="B166" t="s">
        <v>13</v>
      </c>
      <c r="C166" t="s">
        <v>8</v>
      </c>
      <c r="D166">
        <v>7949293</v>
      </c>
    </row>
    <row r="167" spans="1:4">
      <c r="A167">
        <v>20260930</v>
      </c>
      <c r="B167" t="s">
        <v>13</v>
      </c>
      <c r="C167" t="s">
        <v>18</v>
      </c>
      <c r="D167">
        <v>138005</v>
      </c>
    </row>
    <row r="168" spans="1:4">
      <c r="A168">
        <v>20260930</v>
      </c>
      <c r="B168" t="s">
        <v>13</v>
      </c>
      <c r="C168" t="s">
        <v>14</v>
      </c>
      <c r="D168">
        <v>3412714</v>
      </c>
    </row>
    <row r="169" spans="1:4">
      <c r="A169">
        <v>20260930</v>
      </c>
      <c r="B169" t="s">
        <v>13</v>
      </c>
      <c r="C169" t="s">
        <v>19</v>
      </c>
      <c r="D169">
        <v>202094</v>
      </c>
    </row>
    <row r="170" spans="1:4">
      <c r="A170">
        <v>20260930</v>
      </c>
      <c r="B170" t="s">
        <v>13</v>
      </c>
      <c r="C170" t="s">
        <v>20</v>
      </c>
      <c r="D170">
        <v>114846</v>
      </c>
    </row>
    <row r="171" spans="1:4">
      <c r="A171">
        <v>20260930</v>
      </c>
      <c r="B171" t="s">
        <v>13</v>
      </c>
      <c r="C171" t="s">
        <v>15</v>
      </c>
      <c r="D171">
        <v>1</v>
      </c>
    </row>
    <row r="172" spans="1:4">
      <c r="A172">
        <v>20260930</v>
      </c>
      <c r="B172" t="s">
        <v>13</v>
      </c>
      <c r="C172" t="s">
        <v>21</v>
      </c>
      <c r="D172">
        <v>1023050</v>
      </c>
    </row>
    <row r="173" spans="1:4">
      <c r="A173">
        <v>20260930</v>
      </c>
      <c r="B173" t="s">
        <v>13</v>
      </c>
      <c r="C173" t="s">
        <v>17</v>
      </c>
      <c r="D173">
        <v>6</v>
      </c>
    </row>
  </sheetData>
  <mergeCells count="1">
    <mergeCell ref="L15:O17"/>
  </mergeCells>
  <conditionalFormatting sqref="I4">
    <cfRule type="cellIs" dxfId="32" priority="5" operator="lessThan">
      <formula>0</formula>
    </cfRule>
  </conditionalFormatting>
  <conditionalFormatting sqref="I4">
    <cfRule type="cellIs" dxfId="31" priority="4" operator="greaterThan">
      <formula>0</formula>
    </cfRule>
  </conditionalFormatting>
  <conditionalFormatting sqref="N4:N12">
    <cfRule type="cellIs" dxfId="30" priority="3" operator="lessThan">
      <formula>0</formula>
    </cfRule>
  </conditionalFormatting>
  <conditionalFormatting sqref="N4:N12">
    <cfRule type="cellIs" dxfId="29" priority="2" operator="greaterThan">
      <formula>0</formula>
    </cfRule>
  </conditionalFormatting>
  <conditionalFormatting sqref="N5:N12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tableParts count="2"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61CE7-E54C-487E-A968-873ED2ECFB7D}">
  <dimension ref="A1:AL173"/>
  <sheetViews>
    <sheetView workbookViewId="0">
      <selection activeCell="AM15" sqref="AM15"/>
    </sheetView>
  </sheetViews>
  <sheetFormatPr defaultRowHeight="15"/>
  <cols>
    <col min="1" max="1" width="10.42578125" bestFit="1" customWidth="1"/>
    <col min="2" max="2" width="14.42578125" bestFit="1" customWidth="1"/>
    <col min="3" max="3" width="27.42578125" bestFit="1" customWidth="1"/>
    <col min="4" max="4" width="12" bestFit="1" customWidth="1"/>
    <col min="6" max="6" width="14.42578125" bestFit="1" customWidth="1"/>
    <col min="7" max="7" width="27.42578125" bestFit="1" customWidth="1"/>
    <col min="8" max="9" width="14.85546875" bestFit="1" customWidth="1"/>
    <col min="10" max="10" width="12" customWidth="1"/>
    <col min="11" max="16" width="14.85546875" bestFit="1" customWidth="1"/>
    <col min="17" max="17" width="15.85546875" bestFit="1" customWidth="1"/>
    <col min="19" max="19" width="19.42578125" bestFit="1" customWidth="1"/>
    <col min="20" max="20" width="27.42578125" bestFit="1" customWidth="1"/>
    <col min="21" max="29" width="12.140625" bestFit="1" customWidth="1"/>
    <col min="30" max="30" width="14.42578125" customWidth="1"/>
    <col min="31" max="31" width="11.7109375" customWidth="1"/>
    <col min="32" max="32" width="10.42578125" customWidth="1"/>
  </cols>
  <sheetData>
    <row r="1" spans="1:38">
      <c r="B1" t="s">
        <v>73</v>
      </c>
    </row>
    <row r="2" spans="1:38">
      <c r="A2" t="s">
        <v>66</v>
      </c>
      <c r="B2" t="s">
        <v>1</v>
      </c>
      <c r="C2" t="s">
        <v>2</v>
      </c>
      <c r="D2" t="s">
        <v>3</v>
      </c>
    </row>
    <row r="3" spans="1:38">
      <c r="A3">
        <v>20260131</v>
      </c>
      <c r="B3" t="s">
        <v>4</v>
      </c>
      <c r="C3" t="s">
        <v>5</v>
      </c>
      <c r="D3">
        <v>1676583</v>
      </c>
      <c r="F3" s="1" t="s">
        <v>6</v>
      </c>
      <c r="H3" s="1" t="s">
        <v>66</v>
      </c>
      <c r="S3" t="s">
        <v>74</v>
      </c>
      <c r="W3">
        <f>V5-U5</f>
        <v>48051</v>
      </c>
    </row>
    <row r="4" spans="1:38">
      <c r="A4">
        <v>20260131</v>
      </c>
      <c r="B4" t="s">
        <v>4</v>
      </c>
      <c r="C4" t="s">
        <v>7</v>
      </c>
      <c r="D4">
        <v>85007</v>
      </c>
      <c r="F4" s="1" t="s">
        <v>1</v>
      </c>
      <c r="G4" s="1" t="s">
        <v>2</v>
      </c>
      <c r="H4">
        <v>20260131</v>
      </c>
      <c r="I4">
        <v>20260228</v>
      </c>
      <c r="J4">
        <v>20260331</v>
      </c>
      <c r="K4">
        <v>20260430</v>
      </c>
      <c r="L4">
        <v>20260531</v>
      </c>
      <c r="M4">
        <v>20260630</v>
      </c>
      <c r="N4">
        <v>20260731</v>
      </c>
      <c r="O4">
        <v>20260831</v>
      </c>
      <c r="P4">
        <v>20260930</v>
      </c>
      <c r="Q4" t="s">
        <v>22</v>
      </c>
      <c r="S4" t="s">
        <v>1</v>
      </c>
      <c r="T4" t="s">
        <v>2</v>
      </c>
      <c r="U4" t="s">
        <v>75</v>
      </c>
      <c r="V4" t="s">
        <v>76</v>
      </c>
      <c r="W4" t="s">
        <v>77</v>
      </c>
      <c r="X4" t="s">
        <v>78</v>
      </c>
      <c r="Y4" t="s">
        <v>79</v>
      </c>
      <c r="Z4" t="s">
        <v>80</v>
      </c>
      <c r="AA4" t="s">
        <v>81</v>
      </c>
      <c r="AB4" t="s">
        <v>82</v>
      </c>
      <c r="AC4" t="s">
        <v>83</v>
      </c>
      <c r="AD4" t="s">
        <v>84</v>
      </c>
      <c r="AE4" t="s">
        <v>85</v>
      </c>
      <c r="AF4" t="s">
        <v>86</v>
      </c>
      <c r="AG4" t="s">
        <v>87</v>
      </c>
      <c r="AH4" t="s">
        <v>88</v>
      </c>
      <c r="AI4" t="s">
        <v>89</v>
      </c>
      <c r="AJ4" t="s">
        <v>90</v>
      </c>
      <c r="AK4" t="s">
        <v>91</v>
      </c>
      <c r="AL4" t="s">
        <v>92</v>
      </c>
    </row>
    <row r="5" spans="1:38">
      <c r="A5">
        <v>20260131</v>
      </c>
      <c r="B5" t="s">
        <v>4</v>
      </c>
      <c r="C5" t="s">
        <v>8</v>
      </c>
      <c r="D5">
        <v>1831763</v>
      </c>
      <c r="F5" t="s">
        <v>4</v>
      </c>
      <c r="G5" t="s">
        <v>5</v>
      </c>
      <c r="H5" s="5">
        <v>1676583</v>
      </c>
      <c r="I5" s="5">
        <v>1683706</v>
      </c>
      <c r="J5" s="5">
        <v>1833996</v>
      </c>
      <c r="K5" s="5">
        <v>1848686</v>
      </c>
      <c r="L5" s="5">
        <v>1853261</v>
      </c>
      <c r="M5" s="5">
        <v>1991117</v>
      </c>
      <c r="N5" s="5">
        <v>1990060</v>
      </c>
      <c r="O5" s="5">
        <v>1996182</v>
      </c>
      <c r="P5" s="5">
        <v>2000255</v>
      </c>
      <c r="Q5" s="5">
        <v>16873846</v>
      </c>
      <c r="S5" t="s">
        <v>13</v>
      </c>
      <c r="T5" t="s">
        <v>14</v>
      </c>
      <c r="U5">
        <v>3008912</v>
      </c>
      <c r="V5">
        <v>3056963</v>
      </c>
      <c r="W5">
        <v>3116127</v>
      </c>
      <c r="X5">
        <v>3168295</v>
      </c>
      <c r="Y5">
        <v>3196815</v>
      </c>
      <c r="Z5">
        <v>3289139</v>
      </c>
      <c r="AA5">
        <v>3329016</v>
      </c>
      <c r="AB5">
        <v>3389415</v>
      </c>
      <c r="AC5">
        <v>3412714</v>
      </c>
      <c r="AD5">
        <f>Table7[[#This Row],[20260228]]-Table7[[#This Row],[20260131]]</f>
        <v>48051</v>
      </c>
      <c r="AE5">
        <f>Table7[[#This Row],[20260331]]-Table7[[#This Row],[20260228]]</f>
        <v>59164</v>
      </c>
      <c r="AF5">
        <f>Table7[[#This Row],[20260430]]-Table7[[#This Row],[20260331]]</f>
        <v>52168</v>
      </c>
      <c r="AG5">
        <f>Table7[[#This Row],[20260531]]-Table7[[#This Row],[20260430]]</f>
        <v>28520</v>
      </c>
      <c r="AH5">
        <f>Table7[[#This Row],[20260630]]-Table7[[#This Row],[20260531]]</f>
        <v>92324</v>
      </c>
      <c r="AI5">
        <f>Table7[[#This Row],[20260731]]-Table7[[#This Row],[20260630]]</f>
        <v>39877</v>
      </c>
      <c r="AJ5">
        <f>Table7[[#This Row],[20260831]]-Table7[[#This Row],[20260731]]</f>
        <v>60399</v>
      </c>
      <c r="AK5">
        <f>Table7[[#This Row],[20260930]]-Table7[[#This Row],[20260831]]</f>
        <v>23299</v>
      </c>
      <c r="AL5">
        <f>SUM(Table7[[#This Row],[20260930]]-Table7[[#This Row],[20260131]])</f>
        <v>403802</v>
      </c>
    </row>
    <row r="6" spans="1:38">
      <c r="A6">
        <v>20260131</v>
      </c>
      <c r="B6" t="s">
        <v>4</v>
      </c>
      <c r="C6" t="s">
        <v>9</v>
      </c>
      <c r="D6">
        <v>157883</v>
      </c>
      <c r="G6" t="s">
        <v>7</v>
      </c>
      <c r="H6" s="5">
        <v>85007</v>
      </c>
      <c r="I6" s="5">
        <v>85007</v>
      </c>
      <c r="J6" s="5">
        <v>85614</v>
      </c>
      <c r="K6" s="5">
        <v>86308</v>
      </c>
      <c r="L6" s="5">
        <v>86171</v>
      </c>
      <c r="M6" s="5">
        <v>2736</v>
      </c>
      <c r="N6" s="5">
        <v>4017</v>
      </c>
      <c r="O6" s="5">
        <v>3854</v>
      </c>
      <c r="P6" s="5">
        <v>3892</v>
      </c>
      <c r="Q6" s="5">
        <v>442606</v>
      </c>
      <c r="S6" t="s">
        <v>4</v>
      </c>
      <c r="T6" t="s">
        <v>5</v>
      </c>
      <c r="U6">
        <v>1676583</v>
      </c>
      <c r="V6">
        <v>1683706</v>
      </c>
      <c r="W6">
        <v>1833996</v>
      </c>
      <c r="X6">
        <v>1848686</v>
      </c>
      <c r="Y6">
        <v>1853261</v>
      </c>
      <c r="Z6">
        <v>1991117</v>
      </c>
      <c r="AA6">
        <v>1990060</v>
      </c>
      <c r="AB6">
        <v>1996182</v>
      </c>
      <c r="AC6">
        <v>2000255</v>
      </c>
      <c r="AD6">
        <f>Table7[[#This Row],[20260228]]-Table7[[#This Row],[20260131]]</f>
        <v>7123</v>
      </c>
      <c r="AE6">
        <f>Table7[[#This Row],[20260331]]-Table7[[#This Row],[20260228]]</f>
        <v>150290</v>
      </c>
      <c r="AF6">
        <f>Table7[[#This Row],[20260430]]-Table7[[#This Row],[20260331]]</f>
        <v>14690</v>
      </c>
      <c r="AG6">
        <f>Table7[[#This Row],[20260531]]-Table7[[#This Row],[20260430]]</f>
        <v>4575</v>
      </c>
      <c r="AH6">
        <f>Table7[[#This Row],[20260630]]-Table7[[#This Row],[20260531]]</f>
        <v>137856</v>
      </c>
      <c r="AI6">
        <f>Table7[[#This Row],[20260731]]-Table7[[#This Row],[20260630]]</f>
        <v>-1057</v>
      </c>
      <c r="AJ6">
        <f>Table7[[#This Row],[20260831]]-Table7[[#This Row],[20260731]]</f>
        <v>6122</v>
      </c>
      <c r="AK6">
        <f>Table7[[#This Row],[20260930]]-Table7[[#This Row],[20260831]]</f>
        <v>4073</v>
      </c>
      <c r="AL6">
        <f>SUM(Table7[[#This Row],[20260930]]-Table7[[#This Row],[20260131]])</f>
        <v>323672</v>
      </c>
    </row>
    <row r="7" spans="1:38">
      <c r="A7">
        <v>20260131</v>
      </c>
      <c r="B7" t="s">
        <v>4</v>
      </c>
      <c r="C7" t="s">
        <v>11</v>
      </c>
      <c r="D7">
        <v>910590</v>
      </c>
      <c r="G7" t="s">
        <v>8</v>
      </c>
      <c r="H7" s="5">
        <v>1831763</v>
      </c>
      <c r="I7" s="5">
        <v>1868819</v>
      </c>
      <c r="J7" s="5">
        <v>1902453</v>
      </c>
      <c r="K7" s="5">
        <v>1935137</v>
      </c>
      <c r="L7" s="5">
        <v>1950513</v>
      </c>
      <c r="M7" s="5">
        <v>2007871</v>
      </c>
      <c r="N7" s="5">
        <v>2000821</v>
      </c>
      <c r="O7" s="5">
        <v>2017395</v>
      </c>
      <c r="P7" s="5">
        <v>2013676</v>
      </c>
      <c r="Q7" s="5">
        <v>17528448</v>
      </c>
      <c r="S7" t="s">
        <v>4</v>
      </c>
      <c r="T7" t="s">
        <v>8</v>
      </c>
      <c r="U7">
        <v>1831763</v>
      </c>
      <c r="V7">
        <v>1868819</v>
      </c>
      <c r="W7">
        <v>1902453</v>
      </c>
      <c r="X7">
        <v>1935137</v>
      </c>
      <c r="Y7">
        <v>1950513</v>
      </c>
      <c r="Z7">
        <v>2007871</v>
      </c>
      <c r="AA7">
        <v>2000821</v>
      </c>
      <c r="AB7">
        <v>2017395</v>
      </c>
      <c r="AC7">
        <v>2013676</v>
      </c>
      <c r="AD7">
        <f>Table7[[#This Row],[20260228]]-Table7[[#This Row],[20260131]]</f>
        <v>37056</v>
      </c>
      <c r="AE7">
        <f>Table7[[#This Row],[20260331]]-Table7[[#This Row],[20260228]]</f>
        <v>33634</v>
      </c>
      <c r="AF7">
        <f>Table7[[#This Row],[20260430]]-Table7[[#This Row],[20260331]]</f>
        <v>32684</v>
      </c>
      <c r="AG7">
        <f>Table7[[#This Row],[20260531]]-Table7[[#This Row],[20260430]]</f>
        <v>15376</v>
      </c>
      <c r="AH7">
        <f>Table7[[#This Row],[20260630]]-Table7[[#This Row],[20260531]]</f>
        <v>57358</v>
      </c>
      <c r="AI7">
        <f>Table7[[#This Row],[20260731]]-Table7[[#This Row],[20260630]]</f>
        <v>-7050</v>
      </c>
      <c r="AJ7">
        <f>Table7[[#This Row],[20260831]]-Table7[[#This Row],[20260731]]</f>
        <v>16574</v>
      </c>
      <c r="AK7">
        <f>Table7[[#This Row],[20260930]]-Table7[[#This Row],[20260831]]</f>
        <v>-3719</v>
      </c>
      <c r="AL7">
        <f>SUM(Table7[[#This Row],[20260930]]-Table7[[#This Row],[20260131]])</f>
        <v>181913</v>
      </c>
    </row>
    <row r="8" spans="1:38">
      <c r="A8">
        <v>20260131</v>
      </c>
      <c r="B8" t="s">
        <v>4</v>
      </c>
      <c r="C8" t="s">
        <v>14</v>
      </c>
      <c r="D8">
        <v>390635</v>
      </c>
      <c r="G8" t="s">
        <v>9</v>
      </c>
      <c r="H8" s="5">
        <v>157883</v>
      </c>
      <c r="I8" s="5">
        <v>157638</v>
      </c>
      <c r="J8" s="5">
        <v>154209</v>
      </c>
      <c r="K8" s="5">
        <v>149766</v>
      </c>
      <c r="L8" s="5">
        <v>146676</v>
      </c>
      <c r="M8" s="5">
        <v>143143</v>
      </c>
      <c r="N8" s="5">
        <v>141574</v>
      </c>
      <c r="O8" s="5">
        <v>137945</v>
      </c>
      <c r="P8" s="5">
        <v>133646</v>
      </c>
      <c r="Q8" s="5">
        <v>1322480</v>
      </c>
      <c r="S8" t="s">
        <v>13</v>
      </c>
      <c r="T8" t="s">
        <v>21</v>
      </c>
      <c r="U8">
        <v>973506</v>
      </c>
      <c r="V8">
        <v>987364</v>
      </c>
      <c r="W8">
        <v>1000395</v>
      </c>
      <c r="X8">
        <v>1012751</v>
      </c>
      <c r="Y8">
        <v>1001478</v>
      </c>
      <c r="Z8">
        <v>1045621</v>
      </c>
      <c r="AA8">
        <v>1008930</v>
      </c>
      <c r="AB8">
        <v>1018757</v>
      </c>
      <c r="AC8">
        <v>1023050</v>
      </c>
      <c r="AD8">
        <f>Table7[[#This Row],[20260228]]-Table7[[#This Row],[20260131]]</f>
        <v>13858</v>
      </c>
      <c r="AE8">
        <f>Table7[[#This Row],[20260331]]-Table7[[#This Row],[20260228]]</f>
        <v>13031</v>
      </c>
      <c r="AF8">
        <f>Table7[[#This Row],[20260430]]-Table7[[#This Row],[20260331]]</f>
        <v>12356</v>
      </c>
      <c r="AG8">
        <f>Table7[[#This Row],[20260531]]-Table7[[#This Row],[20260430]]</f>
        <v>-11273</v>
      </c>
      <c r="AH8">
        <f>Table7[[#This Row],[20260630]]-Table7[[#This Row],[20260531]]</f>
        <v>44143</v>
      </c>
      <c r="AI8">
        <f>Table7[[#This Row],[20260731]]-Table7[[#This Row],[20260630]]</f>
        <v>-36691</v>
      </c>
      <c r="AJ8">
        <f>Table7[[#This Row],[20260831]]-Table7[[#This Row],[20260731]]</f>
        <v>9827</v>
      </c>
      <c r="AK8">
        <f>Table7[[#This Row],[20260930]]-Table7[[#This Row],[20260831]]</f>
        <v>4293</v>
      </c>
      <c r="AL8">
        <f>SUM(Table7[[#This Row],[20260930]]-Table7[[#This Row],[20260131]])</f>
        <v>49544</v>
      </c>
    </row>
    <row r="9" spans="1:38">
      <c r="A9">
        <v>20260131</v>
      </c>
      <c r="B9" t="s">
        <v>4</v>
      </c>
      <c r="C9" t="s">
        <v>15</v>
      </c>
      <c r="D9">
        <v>8165506</v>
      </c>
      <c r="G9" t="s">
        <v>11</v>
      </c>
      <c r="H9" s="5">
        <v>910590</v>
      </c>
      <c r="I9" s="5">
        <v>875967</v>
      </c>
      <c r="J9" s="5">
        <v>822455</v>
      </c>
      <c r="K9" s="5">
        <v>763588</v>
      </c>
      <c r="L9" s="5">
        <v>705867</v>
      </c>
      <c r="M9" s="5">
        <v>685052</v>
      </c>
      <c r="N9" s="5">
        <v>615627</v>
      </c>
      <c r="O9" s="5">
        <v>569921</v>
      </c>
      <c r="P9" s="5">
        <v>523466</v>
      </c>
      <c r="Q9" s="5">
        <v>6472533</v>
      </c>
      <c r="S9" t="s">
        <v>4</v>
      </c>
      <c r="T9" t="s">
        <v>16</v>
      </c>
      <c r="U9">
        <v>497283</v>
      </c>
      <c r="V9">
        <v>504411</v>
      </c>
      <c r="W9">
        <v>503369</v>
      </c>
      <c r="X9">
        <v>516505</v>
      </c>
      <c r="Y9">
        <v>529041</v>
      </c>
      <c r="Z9">
        <v>532237</v>
      </c>
      <c r="AA9">
        <v>540899</v>
      </c>
      <c r="AB9">
        <v>547154</v>
      </c>
      <c r="AC9">
        <v>543113</v>
      </c>
      <c r="AD9">
        <f>Table7[[#This Row],[20260228]]-Table7[[#This Row],[20260131]]</f>
        <v>7128</v>
      </c>
      <c r="AE9">
        <f>Table7[[#This Row],[20260331]]-Table7[[#This Row],[20260228]]</f>
        <v>-1042</v>
      </c>
      <c r="AF9">
        <f>Table7[[#This Row],[20260430]]-Table7[[#This Row],[20260331]]</f>
        <v>13136</v>
      </c>
      <c r="AG9">
        <f>Table7[[#This Row],[20260531]]-Table7[[#This Row],[20260430]]</f>
        <v>12536</v>
      </c>
      <c r="AH9">
        <f>Table7[[#This Row],[20260630]]-Table7[[#This Row],[20260531]]</f>
        <v>3196</v>
      </c>
      <c r="AI9">
        <f>Table7[[#This Row],[20260731]]-Table7[[#This Row],[20260630]]</f>
        <v>8662</v>
      </c>
      <c r="AJ9">
        <f>Table7[[#This Row],[20260831]]-Table7[[#This Row],[20260731]]</f>
        <v>6255</v>
      </c>
      <c r="AK9">
        <f>Table7[[#This Row],[20260930]]-Table7[[#This Row],[20260831]]</f>
        <v>-4041</v>
      </c>
      <c r="AL9">
        <f>SUM(Table7[[#This Row],[20260930]]-Table7[[#This Row],[20260131]])</f>
        <v>45830</v>
      </c>
    </row>
    <row r="10" spans="1:38">
      <c r="A10">
        <v>20260131</v>
      </c>
      <c r="B10" t="s">
        <v>4</v>
      </c>
      <c r="C10" t="s">
        <v>16</v>
      </c>
      <c r="D10">
        <v>497283</v>
      </c>
      <c r="G10" t="s">
        <v>14</v>
      </c>
      <c r="H10" s="5">
        <v>390635</v>
      </c>
      <c r="I10" s="5">
        <v>392037</v>
      </c>
      <c r="J10" s="5">
        <v>397084</v>
      </c>
      <c r="K10" s="5">
        <v>399656</v>
      </c>
      <c r="L10" s="5">
        <v>397555</v>
      </c>
      <c r="M10" s="5">
        <v>405089</v>
      </c>
      <c r="N10" s="5">
        <v>396754</v>
      </c>
      <c r="O10" s="5">
        <v>394329</v>
      </c>
      <c r="P10" s="5">
        <v>386438</v>
      </c>
      <c r="Q10" s="5">
        <v>3559577</v>
      </c>
      <c r="S10" t="s">
        <v>13</v>
      </c>
      <c r="T10" t="s">
        <v>20</v>
      </c>
      <c r="U10">
        <v>95005</v>
      </c>
      <c r="V10">
        <v>97907</v>
      </c>
      <c r="W10">
        <v>98171</v>
      </c>
      <c r="X10">
        <v>100451</v>
      </c>
      <c r="Y10">
        <v>103298</v>
      </c>
      <c r="Z10">
        <v>107257</v>
      </c>
      <c r="AA10">
        <v>110909</v>
      </c>
      <c r="AB10">
        <v>112894</v>
      </c>
      <c r="AC10">
        <v>114846</v>
      </c>
      <c r="AD10">
        <f>Table7[[#This Row],[20260228]]-Table7[[#This Row],[20260131]]</f>
        <v>2902</v>
      </c>
      <c r="AE10">
        <f>Table7[[#This Row],[20260331]]-Table7[[#This Row],[20260228]]</f>
        <v>264</v>
      </c>
      <c r="AF10">
        <f>Table7[[#This Row],[20260430]]-Table7[[#This Row],[20260331]]</f>
        <v>2280</v>
      </c>
      <c r="AG10">
        <f>Table7[[#This Row],[20260531]]-Table7[[#This Row],[20260430]]</f>
        <v>2847</v>
      </c>
      <c r="AH10">
        <f>Table7[[#This Row],[20260630]]-Table7[[#This Row],[20260531]]</f>
        <v>3959</v>
      </c>
      <c r="AI10">
        <f>Table7[[#This Row],[20260731]]-Table7[[#This Row],[20260630]]</f>
        <v>3652</v>
      </c>
      <c r="AJ10">
        <f>Table7[[#This Row],[20260831]]-Table7[[#This Row],[20260731]]</f>
        <v>1985</v>
      </c>
      <c r="AK10">
        <f>Table7[[#This Row],[20260930]]-Table7[[#This Row],[20260831]]</f>
        <v>1952</v>
      </c>
      <c r="AL10">
        <f>SUM(Table7[[#This Row],[20260930]]-Table7[[#This Row],[20260131]])</f>
        <v>19841</v>
      </c>
    </row>
    <row r="11" spans="1:38">
      <c r="A11">
        <v>20260131</v>
      </c>
      <c r="B11" t="s">
        <v>4</v>
      </c>
      <c r="C11" t="s">
        <v>17</v>
      </c>
      <c r="D11">
        <v>33335</v>
      </c>
      <c r="G11" t="s">
        <v>15</v>
      </c>
      <c r="H11" s="5">
        <v>8165506</v>
      </c>
      <c r="I11" s="5">
        <v>8167114</v>
      </c>
      <c r="J11" s="5">
        <v>8126421</v>
      </c>
      <c r="K11" s="5">
        <v>8152902</v>
      </c>
      <c r="L11" s="5">
        <v>8091536</v>
      </c>
      <c r="M11" s="5">
        <v>8315618</v>
      </c>
      <c r="N11" s="5">
        <v>8091350</v>
      </c>
      <c r="O11" s="5">
        <v>8034855</v>
      </c>
      <c r="P11" s="5">
        <v>7974683</v>
      </c>
      <c r="Q11" s="5">
        <v>73119985</v>
      </c>
      <c r="S11" t="s">
        <v>4</v>
      </c>
      <c r="T11" t="s">
        <v>17</v>
      </c>
      <c r="U11">
        <v>33335</v>
      </c>
      <c r="V11">
        <v>34116</v>
      </c>
      <c r="W11">
        <v>34494</v>
      </c>
      <c r="X11">
        <v>34593</v>
      </c>
      <c r="Y11">
        <v>34949</v>
      </c>
      <c r="Z11">
        <v>35156</v>
      </c>
      <c r="AA11">
        <v>35511</v>
      </c>
      <c r="AB11">
        <v>36177</v>
      </c>
      <c r="AC11">
        <v>37899</v>
      </c>
      <c r="AD11">
        <f>Table7[[#This Row],[20260228]]-Table7[[#This Row],[20260131]]</f>
        <v>781</v>
      </c>
      <c r="AE11">
        <f>Table7[[#This Row],[20260331]]-Table7[[#This Row],[20260228]]</f>
        <v>378</v>
      </c>
      <c r="AF11">
        <f>Table7[[#This Row],[20260430]]-Table7[[#This Row],[20260331]]</f>
        <v>99</v>
      </c>
      <c r="AG11">
        <f>Table7[[#This Row],[20260531]]-Table7[[#This Row],[20260430]]</f>
        <v>356</v>
      </c>
      <c r="AH11">
        <f>Table7[[#This Row],[20260630]]-Table7[[#This Row],[20260531]]</f>
        <v>207</v>
      </c>
      <c r="AI11">
        <f>Table7[[#This Row],[20260731]]-Table7[[#This Row],[20260630]]</f>
        <v>355</v>
      </c>
      <c r="AJ11">
        <f>Table7[[#This Row],[20260831]]-Table7[[#This Row],[20260731]]</f>
        <v>666</v>
      </c>
      <c r="AK11">
        <f>Table7[[#This Row],[20260930]]-Table7[[#This Row],[20260831]]</f>
        <v>1722</v>
      </c>
      <c r="AL11">
        <f>SUM(Table7[[#This Row],[20260930]]-Table7[[#This Row],[20260131]])</f>
        <v>4564</v>
      </c>
    </row>
    <row r="12" spans="1:38">
      <c r="A12">
        <v>20260131</v>
      </c>
      <c r="B12" t="s">
        <v>10</v>
      </c>
      <c r="C12" t="s">
        <v>5</v>
      </c>
      <c r="D12">
        <v>8967941</v>
      </c>
      <c r="G12" t="s">
        <v>16</v>
      </c>
      <c r="H12" s="5">
        <v>497283</v>
      </c>
      <c r="I12" s="5">
        <v>504411</v>
      </c>
      <c r="J12" s="5">
        <v>503369</v>
      </c>
      <c r="K12" s="5">
        <v>516505</v>
      </c>
      <c r="L12" s="5">
        <v>529041</v>
      </c>
      <c r="M12" s="5">
        <v>532237</v>
      </c>
      <c r="N12" s="5">
        <v>540899</v>
      </c>
      <c r="O12" s="5">
        <v>547154</v>
      </c>
      <c r="P12" s="5">
        <v>543113</v>
      </c>
      <c r="Q12" s="5">
        <v>4714012</v>
      </c>
      <c r="S12" t="s">
        <v>13</v>
      </c>
      <c r="T12" t="s">
        <v>19</v>
      </c>
      <c r="U12">
        <v>199536</v>
      </c>
      <c r="V12">
        <v>200959</v>
      </c>
      <c r="W12">
        <v>199710</v>
      </c>
      <c r="X12">
        <v>200111</v>
      </c>
      <c r="Y12">
        <v>197543</v>
      </c>
      <c r="Z12">
        <v>201768</v>
      </c>
      <c r="AA12">
        <v>199044</v>
      </c>
      <c r="AB12">
        <v>200824</v>
      </c>
      <c r="AC12">
        <v>202094</v>
      </c>
      <c r="AD12">
        <f>Table7[[#This Row],[20260228]]-Table7[[#This Row],[20260131]]</f>
        <v>1423</v>
      </c>
      <c r="AE12">
        <f>Table7[[#This Row],[20260331]]-Table7[[#This Row],[20260228]]</f>
        <v>-1249</v>
      </c>
      <c r="AF12">
        <f>Table7[[#This Row],[20260430]]-Table7[[#This Row],[20260331]]</f>
        <v>401</v>
      </c>
      <c r="AG12">
        <f>Table7[[#This Row],[20260531]]-Table7[[#This Row],[20260430]]</f>
        <v>-2568</v>
      </c>
      <c r="AH12">
        <f>Table7[[#This Row],[20260630]]-Table7[[#This Row],[20260531]]</f>
        <v>4225</v>
      </c>
      <c r="AI12">
        <f>Table7[[#This Row],[20260731]]-Table7[[#This Row],[20260630]]</f>
        <v>-2724</v>
      </c>
      <c r="AJ12">
        <f>Table7[[#This Row],[20260831]]-Table7[[#This Row],[20260731]]</f>
        <v>1780</v>
      </c>
      <c r="AK12">
        <f>Table7[[#This Row],[20260930]]-Table7[[#This Row],[20260831]]</f>
        <v>1270</v>
      </c>
      <c r="AL12">
        <f>SUM(Table7[[#This Row],[20260930]]-Table7[[#This Row],[20260131]])</f>
        <v>2558</v>
      </c>
    </row>
    <row r="13" spans="1:38">
      <c r="A13">
        <v>20260131</v>
      </c>
      <c r="B13" t="s">
        <v>13</v>
      </c>
      <c r="C13" t="s">
        <v>12</v>
      </c>
      <c r="D13">
        <v>2404</v>
      </c>
      <c r="G13" t="s">
        <v>17</v>
      </c>
      <c r="H13" s="5">
        <v>33335</v>
      </c>
      <c r="I13" s="5">
        <v>34116</v>
      </c>
      <c r="J13" s="5">
        <v>34494</v>
      </c>
      <c r="K13" s="5">
        <v>34593</v>
      </c>
      <c r="L13" s="5">
        <v>34949</v>
      </c>
      <c r="M13" s="5">
        <v>35156</v>
      </c>
      <c r="N13" s="5">
        <v>35511</v>
      </c>
      <c r="O13" s="5">
        <v>36177</v>
      </c>
      <c r="P13" s="5">
        <v>37899</v>
      </c>
      <c r="Q13" s="5">
        <v>316230</v>
      </c>
      <c r="S13" t="s">
        <v>13</v>
      </c>
      <c r="T13" t="s">
        <v>12</v>
      </c>
      <c r="U13">
        <v>2404</v>
      </c>
      <c r="V13">
        <v>3481</v>
      </c>
      <c r="W13">
        <v>3510</v>
      </c>
      <c r="X13">
        <v>3584</v>
      </c>
      <c r="Y13">
        <v>3602</v>
      </c>
      <c r="Z13">
        <v>3737</v>
      </c>
      <c r="AA13">
        <v>3818</v>
      </c>
      <c r="AB13">
        <v>3864</v>
      </c>
      <c r="AC13">
        <v>4006</v>
      </c>
      <c r="AD13">
        <f>Table7[[#This Row],[20260228]]-Table7[[#This Row],[20260131]]</f>
        <v>1077</v>
      </c>
      <c r="AE13">
        <f>Table7[[#This Row],[20260331]]-Table7[[#This Row],[20260228]]</f>
        <v>29</v>
      </c>
      <c r="AF13">
        <f>Table7[[#This Row],[20260430]]-Table7[[#This Row],[20260331]]</f>
        <v>74</v>
      </c>
      <c r="AG13">
        <f>Table7[[#This Row],[20260531]]-Table7[[#This Row],[20260430]]</f>
        <v>18</v>
      </c>
      <c r="AH13">
        <f>Table7[[#This Row],[20260630]]-Table7[[#This Row],[20260531]]</f>
        <v>135</v>
      </c>
      <c r="AI13">
        <f>Table7[[#This Row],[20260731]]-Table7[[#This Row],[20260630]]</f>
        <v>81</v>
      </c>
      <c r="AJ13">
        <f>Table7[[#This Row],[20260831]]-Table7[[#This Row],[20260731]]</f>
        <v>46</v>
      </c>
      <c r="AK13">
        <f>Table7[[#This Row],[20260930]]-Table7[[#This Row],[20260831]]</f>
        <v>142</v>
      </c>
      <c r="AL13">
        <f>SUM(Table7[[#This Row],[20260930]]-Table7[[#This Row],[20260131]])</f>
        <v>1602</v>
      </c>
    </row>
    <row r="14" spans="1:38">
      <c r="A14">
        <v>20260131</v>
      </c>
      <c r="B14" t="s">
        <v>13</v>
      </c>
      <c r="C14" t="s">
        <v>8</v>
      </c>
      <c r="D14">
        <v>7979604</v>
      </c>
      <c r="F14" t="s">
        <v>46</v>
      </c>
      <c r="H14" s="5">
        <v>13748585</v>
      </c>
      <c r="I14" s="5">
        <v>13768815</v>
      </c>
      <c r="J14" s="5">
        <v>13860095</v>
      </c>
      <c r="K14" s="5">
        <v>13887141</v>
      </c>
      <c r="L14" s="5">
        <v>13795569</v>
      </c>
      <c r="M14" s="5">
        <v>14118019</v>
      </c>
      <c r="N14" s="5">
        <v>13816613</v>
      </c>
      <c r="O14" s="5">
        <v>13737812</v>
      </c>
      <c r="P14" s="5">
        <v>13617068</v>
      </c>
      <c r="Q14" s="5">
        <v>124349717</v>
      </c>
      <c r="S14" t="s">
        <v>13</v>
      </c>
      <c r="T14" t="s">
        <v>18</v>
      </c>
      <c r="U14">
        <v>136749</v>
      </c>
      <c r="V14">
        <v>137319</v>
      </c>
      <c r="W14">
        <v>135872</v>
      </c>
      <c r="X14">
        <v>134657</v>
      </c>
      <c r="Y14">
        <v>132895</v>
      </c>
      <c r="Z14">
        <v>135802</v>
      </c>
      <c r="AA14">
        <v>135013</v>
      </c>
      <c r="AB14">
        <v>136623</v>
      </c>
      <c r="AC14">
        <v>138005</v>
      </c>
      <c r="AD14">
        <f>Table7[[#This Row],[20260228]]-Table7[[#This Row],[20260131]]</f>
        <v>570</v>
      </c>
      <c r="AE14">
        <f>Table7[[#This Row],[20260331]]-Table7[[#This Row],[20260228]]</f>
        <v>-1447</v>
      </c>
      <c r="AF14">
        <f>Table7[[#This Row],[20260430]]-Table7[[#This Row],[20260331]]</f>
        <v>-1215</v>
      </c>
      <c r="AG14">
        <f>Table7[[#This Row],[20260531]]-Table7[[#This Row],[20260430]]</f>
        <v>-1762</v>
      </c>
      <c r="AH14">
        <f>Table7[[#This Row],[20260630]]-Table7[[#This Row],[20260531]]</f>
        <v>2907</v>
      </c>
      <c r="AI14">
        <f>Table7[[#This Row],[20260731]]-Table7[[#This Row],[20260630]]</f>
        <v>-789</v>
      </c>
      <c r="AJ14">
        <f>Table7[[#This Row],[20260831]]-Table7[[#This Row],[20260731]]</f>
        <v>1610</v>
      </c>
      <c r="AK14">
        <f>Table7[[#This Row],[20260930]]-Table7[[#This Row],[20260831]]</f>
        <v>1382</v>
      </c>
      <c r="AL14">
        <f>SUM(Table7[[#This Row],[20260930]]-Table7[[#This Row],[20260131]])</f>
        <v>1256</v>
      </c>
    </row>
    <row r="15" spans="1:38">
      <c r="A15">
        <v>20260131</v>
      </c>
      <c r="B15" t="s">
        <v>13</v>
      </c>
      <c r="C15" t="s">
        <v>18</v>
      </c>
      <c r="D15">
        <v>136749</v>
      </c>
      <c r="F15" t="s">
        <v>10</v>
      </c>
      <c r="G15" t="s">
        <v>5</v>
      </c>
      <c r="H15" s="5">
        <v>8967941</v>
      </c>
      <c r="I15" s="5">
        <v>8959878</v>
      </c>
      <c r="J15" s="5">
        <v>8957297</v>
      </c>
      <c r="K15" s="5">
        <v>8953067</v>
      </c>
      <c r="L15" s="5">
        <v>8945691</v>
      </c>
      <c r="M15" s="5">
        <v>8940751</v>
      </c>
      <c r="N15" s="5">
        <v>8950313</v>
      </c>
      <c r="O15" s="5">
        <v>8945700</v>
      </c>
      <c r="P15" s="5">
        <v>8939694</v>
      </c>
      <c r="Q15" s="5">
        <v>80560332</v>
      </c>
      <c r="S15" t="s">
        <v>13</v>
      </c>
      <c r="T15" t="s">
        <v>17</v>
      </c>
      <c r="U15">
        <v>6</v>
      </c>
      <c r="V15">
        <v>6</v>
      </c>
      <c r="W15">
        <v>6</v>
      </c>
      <c r="X15">
        <v>6</v>
      </c>
      <c r="Y15">
        <v>6</v>
      </c>
      <c r="Z15">
        <v>6</v>
      </c>
      <c r="AA15">
        <v>6</v>
      </c>
      <c r="AB15">
        <v>6</v>
      </c>
      <c r="AC15">
        <v>6</v>
      </c>
      <c r="AD15">
        <f>Table7[[#This Row],[20260228]]-Table7[[#This Row],[20260131]]</f>
        <v>0</v>
      </c>
      <c r="AE15">
        <f>Table7[[#This Row],[20260331]]-Table7[[#This Row],[20260228]]</f>
        <v>0</v>
      </c>
      <c r="AF15">
        <f>Table7[[#This Row],[20260430]]-Table7[[#This Row],[20260331]]</f>
        <v>0</v>
      </c>
      <c r="AG15">
        <f>Table7[[#This Row],[20260531]]-Table7[[#This Row],[20260430]]</f>
        <v>0</v>
      </c>
      <c r="AH15">
        <f>Table7[[#This Row],[20260630]]-Table7[[#This Row],[20260531]]</f>
        <v>0</v>
      </c>
      <c r="AI15">
        <f>Table7[[#This Row],[20260731]]-Table7[[#This Row],[20260630]]</f>
        <v>0</v>
      </c>
      <c r="AJ15">
        <f>Table7[[#This Row],[20260831]]-Table7[[#This Row],[20260731]]</f>
        <v>0</v>
      </c>
      <c r="AK15">
        <f>Table7[[#This Row],[20260930]]-Table7[[#This Row],[20260831]]</f>
        <v>0</v>
      </c>
      <c r="AL15">
        <f>SUM(Table7[[#This Row],[20260930]]-Table7[[#This Row],[20260131]])</f>
        <v>0</v>
      </c>
    </row>
    <row r="16" spans="1:38">
      <c r="A16">
        <v>20260131</v>
      </c>
      <c r="B16" t="s">
        <v>13</v>
      </c>
      <c r="C16" t="s">
        <v>14</v>
      </c>
      <c r="D16">
        <v>3008912</v>
      </c>
      <c r="F16" t="s">
        <v>47</v>
      </c>
      <c r="H16" s="5">
        <v>8967941</v>
      </c>
      <c r="I16" s="5">
        <v>8959878</v>
      </c>
      <c r="J16" s="5">
        <v>8957297</v>
      </c>
      <c r="K16" s="5">
        <v>8953067</v>
      </c>
      <c r="L16" s="5">
        <v>8945691</v>
      </c>
      <c r="M16" s="5">
        <v>8940751</v>
      </c>
      <c r="N16" s="5">
        <v>8950313</v>
      </c>
      <c r="O16" s="5">
        <v>8945700</v>
      </c>
      <c r="P16" s="5">
        <v>8939694</v>
      </c>
      <c r="Q16" s="5">
        <v>80560332</v>
      </c>
      <c r="S16" t="s">
        <v>13</v>
      </c>
      <c r="T16" t="s">
        <v>15</v>
      </c>
      <c r="U16">
        <v>4</v>
      </c>
      <c r="V16">
        <v>4</v>
      </c>
      <c r="W16">
        <v>4</v>
      </c>
      <c r="X16">
        <v>3</v>
      </c>
      <c r="Y16">
        <v>2</v>
      </c>
      <c r="Z16">
        <v>2</v>
      </c>
      <c r="AA16">
        <v>1</v>
      </c>
      <c r="AB16">
        <v>1</v>
      </c>
      <c r="AC16">
        <v>1</v>
      </c>
      <c r="AD16">
        <f>Table7[[#This Row],[20260228]]-Table7[[#This Row],[20260131]]</f>
        <v>0</v>
      </c>
      <c r="AE16">
        <f>Table7[[#This Row],[20260331]]-Table7[[#This Row],[20260228]]</f>
        <v>0</v>
      </c>
      <c r="AF16">
        <f>Table7[[#This Row],[20260430]]-Table7[[#This Row],[20260331]]</f>
        <v>-1</v>
      </c>
      <c r="AG16">
        <f>Table7[[#This Row],[20260531]]-Table7[[#This Row],[20260430]]</f>
        <v>-1</v>
      </c>
      <c r="AH16">
        <f>Table7[[#This Row],[20260630]]-Table7[[#This Row],[20260531]]</f>
        <v>0</v>
      </c>
      <c r="AI16">
        <f>Table7[[#This Row],[20260731]]-Table7[[#This Row],[20260630]]</f>
        <v>-1</v>
      </c>
      <c r="AJ16">
        <f>Table7[[#This Row],[20260831]]-Table7[[#This Row],[20260731]]</f>
        <v>0</v>
      </c>
      <c r="AK16">
        <f>Table7[[#This Row],[20260930]]-Table7[[#This Row],[20260831]]</f>
        <v>0</v>
      </c>
      <c r="AL16">
        <f>SUM(Table7[[#This Row],[20260930]]-Table7[[#This Row],[20260131]])</f>
        <v>-3</v>
      </c>
    </row>
    <row r="17" spans="1:38">
      <c r="A17">
        <v>20260131</v>
      </c>
      <c r="B17" t="s">
        <v>13</v>
      </c>
      <c r="C17" t="s">
        <v>19</v>
      </c>
      <c r="D17">
        <v>199536</v>
      </c>
      <c r="F17" t="s">
        <v>13</v>
      </c>
      <c r="G17" t="s">
        <v>12</v>
      </c>
      <c r="H17" s="5">
        <v>2404</v>
      </c>
      <c r="I17" s="5">
        <v>3481</v>
      </c>
      <c r="J17" s="5">
        <v>3510</v>
      </c>
      <c r="K17" s="5">
        <v>3584</v>
      </c>
      <c r="L17" s="5">
        <v>3602</v>
      </c>
      <c r="M17" s="5">
        <v>3737</v>
      </c>
      <c r="N17" s="5">
        <v>3818</v>
      </c>
      <c r="O17" s="5">
        <v>3864</v>
      </c>
      <c r="P17" s="5">
        <v>4006</v>
      </c>
      <c r="Q17" s="5">
        <v>32006</v>
      </c>
      <c r="S17" t="s">
        <v>4</v>
      </c>
      <c r="T17" t="s">
        <v>14</v>
      </c>
      <c r="U17">
        <v>390635</v>
      </c>
      <c r="V17">
        <v>392037</v>
      </c>
      <c r="W17">
        <v>397084</v>
      </c>
      <c r="X17">
        <v>399656</v>
      </c>
      <c r="Y17">
        <v>397555</v>
      </c>
      <c r="Z17">
        <v>405089</v>
      </c>
      <c r="AA17">
        <v>396754</v>
      </c>
      <c r="AB17">
        <v>394329</v>
      </c>
      <c r="AC17">
        <v>386438</v>
      </c>
      <c r="AD17">
        <f>Table7[[#This Row],[20260228]]-Table7[[#This Row],[20260131]]</f>
        <v>1402</v>
      </c>
      <c r="AE17">
        <f>Table7[[#This Row],[20260331]]-Table7[[#This Row],[20260228]]</f>
        <v>5047</v>
      </c>
      <c r="AF17">
        <f>Table7[[#This Row],[20260430]]-Table7[[#This Row],[20260331]]</f>
        <v>2572</v>
      </c>
      <c r="AG17">
        <f>Table7[[#This Row],[20260531]]-Table7[[#This Row],[20260430]]</f>
        <v>-2101</v>
      </c>
      <c r="AH17">
        <f>Table7[[#This Row],[20260630]]-Table7[[#This Row],[20260531]]</f>
        <v>7534</v>
      </c>
      <c r="AI17">
        <f>Table7[[#This Row],[20260731]]-Table7[[#This Row],[20260630]]</f>
        <v>-8335</v>
      </c>
      <c r="AJ17">
        <f>Table7[[#This Row],[20260831]]-Table7[[#This Row],[20260731]]</f>
        <v>-2425</v>
      </c>
      <c r="AK17">
        <f>Table7[[#This Row],[20260930]]-Table7[[#This Row],[20260831]]</f>
        <v>-7891</v>
      </c>
      <c r="AL17">
        <f>SUM(Table7[[#This Row],[20260930]]-Table7[[#This Row],[20260131]])</f>
        <v>-4197</v>
      </c>
    </row>
    <row r="18" spans="1:38">
      <c r="A18">
        <v>20260131</v>
      </c>
      <c r="B18" t="s">
        <v>13</v>
      </c>
      <c r="C18" t="s">
        <v>20</v>
      </c>
      <c r="D18">
        <v>95005</v>
      </c>
      <c r="G18" t="s">
        <v>8</v>
      </c>
      <c r="H18" s="5">
        <v>7979604</v>
      </c>
      <c r="I18" s="5">
        <v>7992509</v>
      </c>
      <c r="J18" s="5">
        <v>7965350</v>
      </c>
      <c r="K18" s="5">
        <v>7943863</v>
      </c>
      <c r="L18" s="5">
        <v>7870817</v>
      </c>
      <c r="M18" s="5">
        <v>7998680</v>
      </c>
      <c r="N18" s="5">
        <v>7902643</v>
      </c>
      <c r="O18" s="5">
        <v>7928772</v>
      </c>
      <c r="P18" s="5">
        <v>7949293</v>
      </c>
      <c r="Q18" s="5">
        <v>71531531</v>
      </c>
      <c r="S18" t="s">
        <v>4</v>
      </c>
      <c r="T18" t="s">
        <v>9</v>
      </c>
      <c r="U18">
        <v>157883</v>
      </c>
      <c r="V18">
        <v>157638</v>
      </c>
      <c r="W18">
        <v>154209</v>
      </c>
      <c r="X18">
        <v>149766</v>
      </c>
      <c r="Y18">
        <v>146676</v>
      </c>
      <c r="Z18">
        <v>143143</v>
      </c>
      <c r="AA18">
        <v>141574</v>
      </c>
      <c r="AB18">
        <v>137945</v>
      </c>
      <c r="AC18">
        <v>133646</v>
      </c>
      <c r="AD18">
        <f>Table7[[#This Row],[20260228]]-Table7[[#This Row],[20260131]]</f>
        <v>-245</v>
      </c>
      <c r="AE18">
        <f>Table7[[#This Row],[20260331]]-Table7[[#This Row],[20260228]]</f>
        <v>-3429</v>
      </c>
      <c r="AF18">
        <f>Table7[[#This Row],[20260430]]-Table7[[#This Row],[20260331]]</f>
        <v>-4443</v>
      </c>
      <c r="AG18">
        <f>Table7[[#This Row],[20260531]]-Table7[[#This Row],[20260430]]</f>
        <v>-3090</v>
      </c>
      <c r="AH18">
        <f>Table7[[#This Row],[20260630]]-Table7[[#This Row],[20260531]]</f>
        <v>-3533</v>
      </c>
      <c r="AI18">
        <f>Table7[[#This Row],[20260731]]-Table7[[#This Row],[20260630]]</f>
        <v>-1569</v>
      </c>
      <c r="AJ18">
        <f>Table7[[#This Row],[20260831]]-Table7[[#This Row],[20260731]]</f>
        <v>-3629</v>
      </c>
      <c r="AK18">
        <f>Table7[[#This Row],[20260930]]-Table7[[#This Row],[20260831]]</f>
        <v>-4299</v>
      </c>
      <c r="AL18">
        <f>SUM(Table7[[#This Row],[20260930]]-Table7[[#This Row],[20260131]])</f>
        <v>-24237</v>
      </c>
    </row>
    <row r="19" spans="1:38">
      <c r="A19">
        <v>20260131</v>
      </c>
      <c r="B19" t="s">
        <v>13</v>
      </c>
      <c r="C19" t="s">
        <v>15</v>
      </c>
      <c r="D19">
        <v>4</v>
      </c>
      <c r="G19" t="s">
        <v>18</v>
      </c>
      <c r="H19" s="5">
        <v>136749</v>
      </c>
      <c r="I19" s="5">
        <v>137319</v>
      </c>
      <c r="J19" s="5">
        <v>135872</v>
      </c>
      <c r="K19" s="5">
        <v>134657</v>
      </c>
      <c r="L19" s="5">
        <v>132895</v>
      </c>
      <c r="M19" s="5">
        <v>135802</v>
      </c>
      <c r="N19" s="5">
        <v>135013</v>
      </c>
      <c r="O19" s="5">
        <v>136623</v>
      </c>
      <c r="P19" s="5">
        <v>138005</v>
      </c>
      <c r="Q19" s="5">
        <v>1222935</v>
      </c>
      <c r="S19" t="s">
        <v>10</v>
      </c>
      <c r="T19" t="s">
        <v>5</v>
      </c>
      <c r="U19">
        <v>8967941</v>
      </c>
      <c r="V19">
        <v>8959878</v>
      </c>
      <c r="W19">
        <v>8957297</v>
      </c>
      <c r="X19">
        <v>8953067</v>
      </c>
      <c r="Y19">
        <v>8945691</v>
      </c>
      <c r="Z19">
        <v>8940751</v>
      </c>
      <c r="AA19">
        <v>8950313</v>
      </c>
      <c r="AB19">
        <v>8945700</v>
      </c>
      <c r="AC19">
        <v>8939694</v>
      </c>
      <c r="AD19">
        <f>Table7[[#This Row],[20260228]]-Table7[[#This Row],[20260131]]</f>
        <v>-8063</v>
      </c>
      <c r="AE19">
        <f>Table7[[#This Row],[20260331]]-Table7[[#This Row],[20260228]]</f>
        <v>-2581</v>
      </c>
      <c r="AF19">
        <f>Table7[[#This Row],[20260430]]-Table7[[#This Row],[20260331]]</f>
        <v>-4230</v>
      </c>
      <c r="AG19">
        <f>Table7[[#This Row],[20260531]]-Table7[[#This Row],[20260430]]</f>
        <v>-7376</v>
      </c>
      <c r="AH19">
        <f>Table7[[#This Row],[20260630]]-Table7[[#This Row],[20260531]]</f>
        <v>-4940</v>
      </c>
      <c r="AI19">
        <f>Table7[[#This Row],[20260731]]-Table7[[#This Row],[20260630]]</f>
        <v>9562</v>
      </c>
      <c r="AJ19">
        <f>Table7[[#This Row],[20260831]]-Table7[[#This Row],[20260731]]</f>
        <v>-4613</v>
      </c>
      <c r="AK19">
        <f>Table7[[#This Row],[20260930]]-Table7[[#This Row],[20260831]]</f>
        <v>-6006</v>
      </c>
      <c r="AL19">
        <f>SUM(Table7[[#This Row],[20260930]]-Table7[[#This Row],[20260131]])</f>
        <v>-28247</v>
      </c>
    </row>
    <row r="20" spans="1:38">
      <c r="A20">
        <v>20260131</v>
      </c>
      <c r="B20" t="s">
        <v>13</v>
      </c>
      <c r="C20" t="s">
        <v>21</v>
      </c>
      <c r="D20">
        <v>973506</v>
      </c>
      <c r="G20" t="s">
        <v>14</v>
      </c>
      <c r="H20" s="5">
        <v>3008912</v>
      </c>
      <c r="I20" s="5">
        <v>3056963</v>
      </c>
      <c r="J20" s="5">
        <v>3116127</v>
      </c>
      <c r="K20" s="5">
        <v>3168295</v>
      </c>
      <c r="L20" s="5">
        <v>3196815</v>
      </c>
      <c r="M20" s="5">
        <v>3289139</v>
      </c>
      <c r="N20" s="5">
        <v>3329016</v>
      </c>
      <c r="O20" s="5">
        <v>3389415</v>
      </c>
      <c r="P20" s="5">
        <v>3412714</v>
      </c>
      <c r="Q20" s="5">
        <v>28967396</v>
      </c>
      <c r="S20" t="s">
        <v>13</v>
      </c>
      <c r="T20" t="s">
        <v>8</v>
      </c>
      <c r="U20">
        <v>7979604</v>
      </c>
      <c r="V20">
        <v>7992509</v>
      </c>
      <c r="W20">
        <v>7965350</v>
      </c>
      <c r="X20">
        <v>7943863</v>
      </c>
      <c r="Y20">
        <v>7870817</v>
      </c>
      <c r="Z20">
        <v>7998680</v>
      </c>
      <c r="AA20">
        <v>7902643</v>
      </c>
      <c r="AB20">
        <v>7928772</v>
      </c>
      <c r="AC20">
        <v>7949293</v>
      </c>
      <c r="AD20">
        <f>Table7[[#This Row],[20260228]]-Table7[[#This Row],[20260131]]</f>
        <v>12905</v>
      </c>
      <c r="AE20">
        <f>Table7[[#This Row],[20260331]]-Table7[[#This Row],[20260228]]</f>
        <v>-27159</v>
      </c>
      <c r="AF20">
        <f>Table7[[#This Row],[20260430]]-Table7[[#This Row],[20260331]]</f>
        <v>-21487</v>
      </c>
      <c r="AG20">
        <f>Table7[[#This Row],[20260531]]-Table7[[#This Row],[20260430]]</f>
        <v>-73046</v>
      </c>
      <c r="AH20">
        <f>Table7[[#This Row],[20260630]]-Table7[[#This Row],[20260531]]</f>
        <v>127863</v>
      </c>
      <c r="AI20">
        <f>Table7[[#This Row],[20260731]]-Table7[[#This Row],[20260630]]</f>
        <v>-96037</v>
      </c>
      <c r="AJ20">
        <f>Table7[[#This Row],[20260831]]-Table7[[#This Row],[20260731]]</f>
        <v>26129</v>
      </c>
      <c r="AK20">
        <f>Table7[[#This Row],[20260930]]-Table7[[#This Row],[20260831]]</f>
        <v>20521</v>
      </c>
      <c r="AL20">
        <f>SUM(Table7[[#This Row],[20260930]]-Table7[[#This Row],[20260131]])</f>
        <v>-30311</v>
      </c>
    </row>
    <row r="21" spans="1:38">
      <c r="A21">
        <v>20260131</v>
      </c>
      <c r="B21" t="s">
        <v>13</v>
      </c>
      <c r="C21" t="s">
        <v>17</v>
      </c>
      <c r="D21">
        <v>6</v>
      </c>
      <c r="G21" t="s">
        <v>19</v>
      </c>
      <c r="H21" s="5">
        <v>199536</v>
      </c>
      <c r="I21" s="5">
        <v>200959</v>
      </c>
      <c r="J21" s="5">
        <v>199710</v>
      </c>
      <c r="K21" s="5">
        <v>200111</v>
      </c>
      <c r="L21" s="5">
        <v>197543</v>
      </c>
      <c r="M21" s="5">
        <v>201768</v>
      </c>
      <c r="N21" s="5">
        <v>199044</v>
      </c>
      <c r="O21" s="5">
        <v>200824</v>
      </c>
      <c r="P21" s="5">
        <v>202094</v>
      </c>
      <c r="Q21" s="5">
        <v>1801589</v>
      </c>
      <c r="S21" t="s">
        <v>4</v>
      </c>
      <c r="T21" t="s">
        <v>7</v>
      </c>
      <c r="U21">
        <v>85007</v>
      </c>
      <c r="V21">
        <v>85007</v>
      </c>
      <c r="W21">
        <v>85614</v>
      </c>
      <c r="X21">
        <v>86308</v>
      </c>
      <c r="Y21">
        <v>86171</v>
      </c>
      <c r="Z21">
        <v>2736</v>
      </c>
      <c r="AA21">
        <v>4017</v>
      </c>
      <c r="AB21">
        <v>3854</v>
      </c>
      <c r="AC21">
        <v>3892</v>
      </c>
      <c r="AD21">
        <f>Table7[[#This Row],[20260228]]-Table7[[#This Row],[20260131]]</f>
        <v>0</v>
      </c>
      <c r="AE21">
        <f>Table7[[#This Row],[20260331]]-Table7[[#This Row],[20260228]]</f>
        <v>607</v>
      </c>
      <c r="AF21">
        <f>Table7[[#This Row],[20260430]]-Table7[[#This Row],[20260331]]</f>
        <v>694</v>
      </c>
      <c r="AG21">
        <f>Table7[[#This Row],[20260531]]-Table7[[#This Row],[20260430]]</f>
        <v>-137</v>
      </c>
      <c r="AH21">
        <f>Table7[[#This Row],[20260630]]-Table7[[#This Row],[20260531]]</f>
        <v>-83435</v>
      </c>
      <c r="AI21">
        <f>Table7[[#This Row],[20260731]]-Table7[[#This Row],[20260630]]</f>
        <v>1281</v>
      </c>
      <c r="AJ21">
        <f>Table7[[#This Row],[20260831]]-Table7[[#This Row],[20260731]]</f>
        <v>-163</v>
      </c>
      <c r="AK21">
        <f>Table7[[#This Row],[20260930]]-Table7[[#This Row],[20260831]]</f>
        <v>38</v>
      </c>
      <c r="AL21">
        <f>SUM(Table7[[#This Row],[20260930]]-Table7[[#This Row],[20260131]])</f>
        <v>-81115</v>
      </c>
    </row>
    <row r="22" spans="1:38">
      <c r="A22">
        <v>20260228</v>
      </c>
      <c r="B22" t="s">
        <v>4</v>
      </c>
      <c r="C22" t="s">
        <v>5</v>
      </c>
      <c r="D22">
        <v>1683706</v>
      </c>
      <c r="G22" t="s">
        <v>20</v>
      </c>
      <c r="H22" s="5">
        <v>95005</v>
      </c>
      <c r="I22" s="5">
        <v>97907</v>
      </c>
      <c r="J22" s="5">
        <v>98171</v>
      </c>
      <c r="K22" s="5">
        <v>100451</v>
      </c>
      <c r="L22" s="5">
        <v>103298</v>
      </c>
      <c r="M22" s="5">
        <v>107257</v>
      </c>
      <c r="N22" s="5">
        <v>110909</v>
      </c>
      <c r="O22" s="5">
        <v>112894</v>
      </c>
      <c r="P22" s="5">
        <v>114846</v>
      </c>
      <c r="Q22" s="5">
        <v>940738</v>
      </c>
      <c r="S22" t="s">
        <v>4</v>
      </c>
      <c r="T22" t="s">
        <v>15</v>
      </c>
      <c r="U22">
        <v>8165506</v>
      </c>
      <c r="V22">
        <v>8167114</v>
      </c>
      <c r="W22">
        <v>8126421</v>
      </c>
      <c r="X22">
        <v>8152902</v>
      </c>
      <c r="Y22">
        <v>8091536</v>
      </c>
      <c r="Z22">
        <v>8315618</v>
      </c>
      <c r="AA22">
        <v>8091350</v>
      </c>
      <c r="AB22">
        <v>8034855</v>
      </c>
      <c r="AC22">
        <v>7974683</v>
      </c>
      <c r="AD22">
        <f>Table7[[#This Row],[20260228]]-Table7[[#This Row],[20260131]]</f>
        <v>1608</v>
      </c>
      <c r="AE22">
        <f>Table7[[#This Row],[20260331]]-Table7[[#This Row],[20260228]]</f>
        <v>-40693</v>
      </c>
      <c r="AF22">
        <f>Table7[[#This Row],[20260430]]-Table7[[#This Row],[20260331]]</f>
        <v>26481</v>
      </c>
      <c r="AG22">
        <f>Table7[[#This Row],[20260531]]-Table7[[#This Row],[20260430]]</f>
        <v>-61366</v>
      </c>
      <c r="AH22">
        <f>Table7[[#This Row],[20260630]]-Table7[[#This Row],[20260531]]</f>
        <v>224082</v>
      </c>
      <c r="AI22">
        <f>Table7[[#This Row],[20260731]]-Table7[[#This Row],[20260630]]</f>
        <v>-224268</v>
      </c>
      <c r="AJ22">
        <f>Table7[[#This Row],[20260831]]-Table7[[#This Row],[20260731]]</f>
        <v>-56495</v>
      </c>
      <c r="AK22">
        <f>Table7[[#This Row],[20260930]]-Table7[[#This Row],[20260831]]</f>
        <v>-60172</v>
      </c>
      <c r="AL22">
        <f>SUM(Table7[[#This Row],[20260930]]-Table7[[#This Row],[20260131]])</f>
        <v>-190823</v>
      </c>
    </row>
    <row r="23" spans="1:38">
      <c r="A23">
        <v>20260228</v>
      </c>
      <c r="B23" t="s">
        <v>4</v>
      </c>
      <c r="C23" t="s">
        <v>7</v>
      </c>
      <c r="D23">
        <v>85007</v>
      </c>
      <c r="G23" t="s">
        <v>15</v>
      </c>
      <c r="H23" s="5">
        <v>4</v>
      </c>
      <c r="I23" s="5">
        <v>4</v>
      </c>
      <c r="J23" s="5">
        <v>4</v>
      </c>
      <c r="K23" s="5">
        <v>3</v>
      </c>
      <c r="L23" s="5">
        <v>2</v>
      </c>
      <c r="M23" s="5">
        <v>2</v>
      </c>
      <c r="N23" s="5">
        <v>1</v>
      </c>
      <c r="O23" s="5">
        <v>1</v>
      </c>
      <c r="P23" s="5">
        <v>1</v>
      </c>
      <c r="Q23" s="5">
        <v>22</v>
      </c>
      <c r="S23" t="s">
        <v>4</v>
      </c>
      <c r="T23" t="s">
        <v>11</v>
      </c>
      <c r="U23">
        <v>910590</v>
      </c>
      <c r="V23">
        <v>875967</v>
      </c>
      <c r="W23">
        <v>822455</v>
      </c>
      <c r="X23">
        <v>763588</v>
      </c>
      <c r="Y23">
        <v>705867</v>
      </c>
      <c r="Z23">
        <v>685052</v>
      </c>
      <c r="AA23">
        <v>615627</v>
      </c>
      <c r="AB23">
        <v>569921</v>
      </c>
      <c r="AC23">
        <v>523466</v>
      </c>
      <c r="AD23">
        <f>Table7[[#This Row],[20260228]]-Table7[[#This Row],[20260131]]</f>
        <v>-34623</v>
      </c>
      <c r="AE23">
        <f>Table7[[#This Row],[20260331]]-Table7[[#This Row],[20260228]]</f>
        <v>-53512</v>
      </c>
      <c r="AF23">
        <f>Table7[[#This Row],[20260430]]-Table7[[#This Row],[20260331]]</f>
        <v>-58867</v>
      </c>
      <c r="AG23">
        <f>Table7[[#This Row],[20260531]]-Table7[[#This Row],[20260430]]</f>
        <v>-57721</v>
      </c>
      <c r="AH23">
        <f>Table7[[#This Row],[20260630]]-Table7[[#This Row],[20260531]]</f>
        <v>-20815</v>
      </c>
      <c r="AI23">
        <f>Table7[[#This Row],[20260731]]-Table7[[#This Row],[20260630]]</f>
        <v>-69425</v>
      </c>
      <c r="AJ23">
        <f>Table7[[#This Row],[20260831]]-Table7[[#This Row],[20260731]]</f>
        <v>-45706</v>
      </c>
      <c r="AK23">
        <f>Table7[[#This Row],[20260930]]-Table7[[#This Row],[20260831]]</f>
        <v>-46455</v>
      </c>
      <c r="AL23">
        <f>SUM(Table7[[#This Row],[20260930]]-Table7[[#This Row],[20260131]])</f>
        <v>-387124</v>
      </c>
    </row>
    <row r="24" spans="1:38">
      <c r="A24">
        <v>20260228</v>
      </c>
      <c r="B24" t="s">
        <v>4</v>
      </c>
      <c r="C24" t="s">
        <v>8</v>
      </c>
      <c r="D24">
        <v>1868819</v>
      </c>
      <c r="G24" t="s">
        <v>21</v>
      </c>
      <c r="H24" s="5">
        <v>973506</v>
      </c>
      <c r="I24" s="5">
        <v>987364</v>
      </c>
      <c r="J24" s="5">
        <v>1000395</v>
      </c>
      <c r="K24" s="5">
        <v>1012751</v>
      </c>
      <c r="L24" s="5">
        <v>1001478</v>
      </c>
      <c r="M24" s="5">
        <v>1045621</v>
      </c>
      <c r="N24" s="5">
        <v>1008930</v>
      </c>
      <c r="O24" s="5">
        <v>1018757</v>
      </c>
      <c r="P24" s="5">
        <v>1023050</v>
      </c>
      <c r="Q24" s="5">
        <v>9071852</v>
      </c>
    </row>
    <row r="25" spans="1:38">
      <c r="A25">
        <v>20260228</v>
      </c>
      <c r="B25" t="s">
        <v>4</v>
      </c>
      <c r="C25" t="s">
        <v>9</v>
      </c>
      <c r="D25">
        <v>157638</v>
      </c>
      <c r="G25" t="s">
        <v>17</v>
      </c>
      <c r="H25" s="5">
        <v>6</v>
      </c>
      <c r="I25" s="5">
        <v>6</v>
      </c>
      <c r="J25" s="5">
        <v>6</v>
      </c>
      <c r="K25" s="5">
        <v>6</v>
      </c>
      <c r="L25" s="5">
        <v>6</v>
      </c>
      <c r="M25" s="5">
        <v>6</v>
      </c>
      <c r="N25" s="5">
        <v>6</v>
      </c>
      <c r="O25" s="5">
        <v>6</v>
      </c>
      <c r="P25" s="5">
        <v>6</v>
      </c>
      <c r="Q25" s="5">
        <v>54</v>
      </c>
    </row>
    <row r="26" spans="1:38">
      <c r="A26">
        <v>20260228</v>
      </c>
      <c r="B26" t="s">
        <v>4</v>
      </c>
      <c r="C26" t="s">
        <v>11</v>
      </c>
      <c r="D26">
        <v>875967</v>
      </c>
      <c r="F26" t="s">
        <v>48</v>
      </c>
      <c r="H26">
        <v>12395726</v>
      </c>
      <c r="I26">
        <v>12476512</v>
      </c>
      <c r="J26">
        <v>12519145</v>
      </c>
      <c r="K26">
        <v>12563721</v>
      </c>
      <c r="L26">
        <v>12506456</v>
      </c>
      <c r="M26">
        <v>12782012</v>
      </c>
      <c r="N26">
        <v>12689380</v>
      </c>
      <c r="O26">
        <v>12791156</v>
      </c>
      <c r="P26">
        <v>12844015</v>
      </c>
      <c r="Q26">
        <v>113568123</v>
      </c>
      <c r="S26" t="s">
        <v>1</v>
      </c>
      <c r="T26" t="s">
        <v>2</v>
      </c>
      <c r="U26" t="s">
        <v>75</v>
      </c>
      <c r="V26" t="s">
        <v>83</v>
      </c>
      <c r="W26" t="s">
        <v>93</v>
      </c>
      <c r="X26" t="s">
        <v>70</v>
      </c>
    </row>
    <row r="27" spans="1:38">
      <c r="A27">
        <v>20260228</v>
      </c>
      <c r="B27" t="s">
        <v>4</v>
      </c>
      <c r="C27" t="s">
        <v>14</v>
      </c>
      <c r="D27">
        <v>392037</v>
      </c>
      <c r="F27" t="s">
        <v>22</v>
      </c>
      <c r="H27">
        <v>35112252</v>
      </c>
      <c r="I27">
        <v>35205205</v>
      </c>
      <c r="J27">
        <v>35336537</v>
      </c>
      <c r="K27">
        <v>35403929</v>
      </c>
      <c r="L27">
        <v>35247716</v>
      </c>
      <c r="M27">
        <v>35840782</v>
      </c>
      <c r="N27">
        <v>35456306</v>
      </c>
      <c r="O27">
        <v>35474668</v>
      </c>
      <c r="P27">
        <v>35400777</v>
      </c>
      <c r="Q27">
        <v>318478172</v>
      </c>
      <c r="S27" t="s">
        <v>13</v>
      </c>
      <c r="T27" t="s">
        <v>14</v>
      </c>
      <c r="U27">
        <v>3008912</v>
      </c>
      <c r="V27">
        <v>3412714</v>
      </c>
      <c r="W27">
        <f>Table5710[[#This Row],[20260930]]-Table5710[[#This Row],[20260131]]</f>
        <v>403802</v>
      </c>
      <c r="X27" s="6">
        <f>Table5710[[#This Row],[selisih]]/Table5710[[#This Row],[20260131]]</f>
        <v>0.13420199726678614</v>
      </c>
    </row>
    <row r="28" spans="1:38">
      <c r="A28">
        <v>20260228</v>
      </c>
      <c r="B28" t="s">
        <v>4</v>
      </c>
      <c r="C28" t="s">
        <v>15</v>
      </c>
      <c r="D28">
        <v>8167114</v>
      </c>
      <c r="S28" t="s">
        <v>4</v>
      </c>
      <c r="T28" t="s">
        <v>5</v>
      </c>
      <c r="U28">
        <v>1676583</v>
      </c>
      <c r="V28">
        <v>2000255</v>
      </c>
      <c r="W28">
        <f>Table5710[[#This Row],[20260930]]-Table5710[[#This Row],[20260131]]</f>
        <v>323672</v>
      </c>
      <c r="X28" s="6">
        <f>Table5710[[#This Row],[selisih]]/Table5710[[#This Row],[20260131]]</f>
        <v>0.19305456395537829</v>
      </c>
    </row>
    <row r="29" spans="1:38">
      <c r="A29">
        <v>20260228</v>
      </c>
      <c r="B29" t="s">
        <v>4</v>
      </c>
      <c r="C29" t="s">
        <v>16</v>
      </c>
      <c r="D29">
        <v>504411</v>
      </c>
      <c r="S29" t="s">
        <v>4</v>
      </c>
      <c r="T29" t="s">
        <v>8</v>
      </c>
      <c r="U29">
        <v>1831763</v>
      </c>
      <c r="V29">
        <v>2013676</v>
      </c>
      <c r="W29">
        <f>Table5710[[#This Row],[20260930]]-Table5710[[#This Row],[20260131]]</f>
        <v>181913</v>
      </c>
      <c r="X29" s="6">
        <f>Table5710[[#This Row],[selisih]]/Table5710[[#This Row],[20260131]]</f>
        <v>9.931033654462941E-2</v>
      </c>
    </row>
    <row r="30" spans="1:38">
      <c r="A30">
        <v>20260228</v>
      </c>
      <c r="B30" t="s">
        <v>4</v>
      </c>
      <c r="C30" t="s">
        <v>17</v>
      </c>
      <c r="D30">
        <v>34116</v>
      </c>
      <c r="S30" t="s">
        <v>13</v>
      </c>
      <c r="T30" t="s">
        <v>21</v>
      </c>
      <c r="U30">
        <v>973506</v>
      </c>
      <c r="V30">
        <v>1023050</v>
      </c>
      <c r="W30">
        <f>Table5710[[#This Row],[20260930]]-Table5710[[#This Row],[20260131]]</f>
        <v>49544</v>
      </c>
      <c r="X30" s="6">
        <f>Table5710[[#This Row],[selisih]]/Table5710[[#This Row],[20260131]]</f>
        <v>5.0892341701027008E-2</v>
      </c>
    </row>
    <row r="31" spans="1:38">
      <c r="A31">
        <v>20260228</v>
      </c>
      <c r="B31" t="s">
        <v>10</v>
      </c>
      <c r="C31" t="s">
        <v>5</v>
      </c>
      <c r="D31">
        <v>8959878</v>
      </c>
      <c r="F31" t="s">
        <v>1</v>
      </c>
      <c r="G31" t="s">
        <v>2</v>
      </c>
      <c r="H31" t="s">
        <v>75</v>
      </c>
      <c r="I31" t="s">
        <v>83</v>
      </c>
      <c r="J31" t="s">
        <v>93</v>
      </c>
      <c r="K31" t="s">
        <v>70</v>
      </c>
      <c r="S31" t="s">
        <v>4</v>
      </c>
      <c r="T31" t="s">
        <v>16</v>
      </c>
      <c r="U31">
        <v>497283</v>
      </c>
      <c r="V31">
        <v>543113</v>
      </c>
      <c r="W31">
        <f>Table5710[[#This Row],[20260930]]-Table5710[[#This Row],[20260131]]</f>
        <v>45830</v>
      </c>
      <c r="X31" s="6">
        <f>Table5710[[#This Row],[selisih]]/Table5710[[#This Row],[20260131]]</f>
        <v>9.2160801796964703E-2</v>
      </c>
    </row>
    <row r="32" spans="1:38">
      <c r="A32">
        <v>20260228</v>
      </c>
      <c r="B32" t="s">
        <v>13</v>
      </c>
      <c r="C32" t="s">
        <v>12</v>
      </c>
      <c r="D32">
        <v>3481</v>
      </c>
      <c r="F32" t="s">
        <v>13</v>
      </c>
      <c r="G32" t="s">
        <v>14</v>
      </c>
      <c r="H32">
        <v>3008912</v>
      </c>
      <c r="I32">
        <v>3412714</v>
      </c>
      <c r="J32">
        <f>Table57[[#This Row],[20260930]]-Table57[[#This Row],[20260131]]</f>
        <v>403802</v>
      </c>
      <c r="K32" s="6">
        <f>Table57[[#This Row],[selisih]]/Table57[[#This Row],[20260131]]</f>
        <v>0.13420199726678614</v>
      </c>
      <c r="S32" t="s">
        <v>13</v>
      </c>
      <c r="T32" t="s">
        <v>20</v>
      </c>
      <c r="U32">
        <v>95005</v>
      </c>
      <c r="V32">
        <v>114846</v>
      </c>
      <c r="W32">
        <f>Table5710[[#This Row],[20260930]]-Table5710[[#This Row],[20260131]]</f>
        <v>19841</v>
      </c>
      <c r="X32" s="6">
        <f>Table5710[[#This Row],[selisih]]/Table5710[[#This Row],[20260131]]</f>
        <v>0.20884163991368876</v>
      </c>
    </row>
    <row r="33" spans="1:24">
      <c r="A33">
        <v>20260228</v>
      </c>
      <c r="B33" t="s">
        <v>13</v>
      </c>
      <c r="C33" t="s">
        <v>8</v>
      </c>
      <c r="D33">
        <v>7992509</v>
      </c>
      <c r="F33" t="s">
        <v>4</v>
      </c>
      <c r="G33" t="s">
        <v>5</v>
      </c>
      <c r="H33">
        <v>1676583</v>
      </c>
      <c r="I33">
        <v>2000255</v>
      </c>
      <c r="J33">
        <f>Table57[[#This Row],[20260930]]-Table57[[#This Row],[20260131]]</f>
        <v>323672</v>
      </c>
      <c r="K33" s="6">
        <f>Table57[[#This Row],[selisih]]/Table57[[#This Row],[20260131]]</f>
        <v>0.19305456395537829</v>
      </c>
      <c r="S33" t="s">
        <v>4</v>
      </c>
      <c r="T33" t="s">
        <v>17</v>
      </c>
      <c r="U33">
        <v>33335</v>
      </c>
      <c r="V33">
        <v>37899</v>
      </c>
      <c r="W33">
        <f>Table5710[[#This Row],[20260930]]-Table5710[[#This Row],[20260131]]</f>
        <v>4564</v>
      </c>
      <c r="X33" s="6">
        <f>Table5710[[#This Row],[selisih]]/Table5710[[#This Row],[20260131]]</f>
        <v>0.13691315434228288</v>
      </c>
    </row>
    <row r="34" spans="1:24">
      <c r="A34">
        <v>20260228</v>
      </c>
      <c r="B34" t="s">
        <v>13</v>
      </c>
      <c r="C34" t="s">
        <v>18</v>
      </c>
      <c r="D34">
        <v>137319</v>
      </c>
      <c r="F34" t="s">
        <v>4</v>
      </c>
      <c r="G34" t="s">
        <v>8</v>
      </c>
      <c r="H34">
        <v>1831763</v>
      </c>
      <c r="I34">
        <v>2013676</v>
      </c>
      <c r="J34">
        <f>Table57[[#This Row],[20260930]]-Table57[[#This Row],[20260131]]</f>
        <v>181913</v>
      </c>
      <c r="K34" s="6">
        <f>Table57[[#This Row],[selisih]]/Table57[[#This Row],[20260131]]</f>
        <v>9.931033654462941E-2</v>
      </c>
      <c r="S34" t="s">
        <v>13</v>
      </c>
      <c r="T34" t="s">
        <v>19</v>
      </c>
      <c r="U34">
        <v>199536</v>
      </c>
      <c r="V34">
        <v>202094</v>
      </c>
      <c r="W34">
        <f>Table5710[[#This Row],[20260930]]-Table5710[[#This Row],[20260131]]</f>
        <v>2558</v>
      </c>
      <c r="X34" s="6">
        <f>Table5710[[#This Row],[selisih]]/Table5710[[#This Row],[20260131]]</f>
        <v>1.2819741800978269E-2</v>
      </c>
    </row>
    <row r="35" spans="1:24">
      <c r="A35">
        <v>20260228</v>
      </c>
      <c r="B35" t="s">
        <v>13</v>
      </c>
      <c r="C35" t="s">
        <v>14</v>
      </c>
      <c r="D35">
        <v>3056963</v>
      </c>
      <c r="F35" t="s">
        <v>13</v>
      </c>
      <c r="G35" t="s">
        <v>21</v>
      </c>
      <c r="H35">
        <v>973506</v>
      </c>
      <c r="I35">
        <v>1023050</v>
      </c>
      <c r="J35">
        <f>Table57[[#This Row],[20260930]]-Table57[[#This Row],[20260131]]</f>
        <v>49544</v>
      </c>
      <c r="K35" s="6">
        <f>Table57[[#This Row],[selisih]]/Table57[[#This Row],[20260131]]</f>
        <v>5.0892341701027008E-2</v>
      </c>
      <c r="S35" t="s">
        <v>13</v>
      </c>
      <c r="T35" t="s">
        <v>12</v>
      </c>
      <c r="U35">
        <v>2404</v>
      </c>
      <c r="V35">
        <v>4006</v>
      </c>
      <c r="W35">
        <f>Table5710[[#This Row],[20260930]]-Table5710[[#This Row],[20260131]]</f>
        <v>1602</v>
      </c>
      <c r="X35" s="6">
        <f>Table5710[[#This Row],[selisih]]/Table5710[[#This Row],[20260131]]</f>
        <v>0.66638935108153075</v>
      </c>
    </row>
    <row r="36" spans="1:24">
      <c r="A36">
        <v>20260228</v>
      </c>
      <c r="B36" t="s">
        <v>13</v>
      </c>
      <c r="C36" t="s">
        <v>19</v>
      </c>
      <c r="D36">
        <v>200959</v>
      </c>
      <c r="F36" t="s">
        <v>4</v>
      </c>
      <c r="G36" t="s">
        <v>16</v>
      </c>
      <c r="H36">
        <v>497283</v>
      </c>
      <c r="I36">
        <v>543113</v>
      </c>
      <c r="J36">
        <f>Table57[[#This Row],[20260930]]-Table57[[#This Row],[20260131]]</f>
        <v>45830</v>
      </c>
      <c r="K36" s="6">
        <f>Table57[[#This Row],[selisih]]/Table57[[#This Row],[20260131]]</f>
        <v>9.2160801796964703E-2</v>
      </c>
      <c r="S36" t="s">
        <v>13</v>
      </c>
      <c r="T36" t="s">
        <v>18</v>
      </c>
      <c r="U36">
        <v>136749</v>
      </c>
      <c r="V36">
        <v>138005</v>
      </c>
      <c r="W36">
        <f>Table5710[[#This Row],[20260930]]-Table5710[[#This Row],[20260131]]</f>
        <v>1256</v>
      </c>
      <c r="X36" s="6">
        <f>Table5710[[#This Row],[selisih]]/Table5710[[#This Row],[20260131]]</f>
        <v>9.1847106743010911E-3</v>
      </c>
    </row>
    <row r="37" spans="1:24">
      <c r="A37">
        <v>20260228</v>
      </c>
      <c r="B37" t="s">
        <v>13</v>
      </c>
      <c r="C37" t="s">
        <v>20</v>
      </c>
      <c r="D37">
        <v>97907</v>
      </c>
      <c r="F37" t="s">
        <v>13</v>
      </c>
      <c r="G37" t="s">
        <v>20</v>
      </c>
      <c r="H37">
        <v>95005</v>
      </c>
      <c r="I37">
        <v>114846</v>
      </c>
      <c r="J37">
        <f>Table57[[#This Row],[20260930]]-Table57[[#This Row],[20260131]]</f>
        <v>19841</v>
      </c>
      <c r="K37" s="6">
        <f>Table57[[#This Row],[selisih]]/Table57[[#This Row],[20260131]]</f>
        <v>0.20884163991368876</v>
      </c>
      <c r="S37" t="s">
        <v>13</v>
      </c>
      <c r="T37" t="s">
        <v>17</v>
      </c>
      <c r="U37">
        <v>6</v>
      </c>
      <c r="V37">
        <v>6</v>
      </c>
      <c r="W37">
        <f>Table5710[[#This Row],[20260930]]-Table5710[[#This Row],[20260131]]</f>
        <v>0</v>
      </c>
      <c r="X37" s="6">
        <f>Table5710[[#This Row],[selisih]]/Table5710[[#This Row],[20260131]]</f>
        <v>0</v>
      </c>
    </row>
    <row r="38" spans="1:24">
      <c r="A38">
        <v>20260228</v>
      </c>
      <c r="B38" t="s">
        <v>13</v>
      </c>
      <c r="C38" t="s">
        <v>15</v>
      </c>
      <c r="D38">
        <v>4</v>
      </c>
      <c r="F38" t="s">
        <v>4</v>
      </c>
      <c r="G38" t="s">
        <v>17</v>
      </c>
      <c r="H38">
        <v>33335</v>
      </c>
      <c r="I38">
        <v>37899</v>
      </c>
      <c r="J38">
        <f>Table57[[#This Row],[20260930]]-Table57[[#This Row],[20260131]]</f>
        <v>4564</v>
      </c>
      <c r="K38" s="6">
        <f>Table57[[#This Row],[selisih]]/Table57[[#This Row],[20260131]]</f>
        <v>0.13691315434228288</v>
      </c>
      <c r="S38" t="s">
        <v>13</v>
      </c>
      <c r="T38" t="s">
        <v>15</v>
      </c>
      <c r="U38">
        <v>4</v>
      </c>
      <c r="V38">
        <v>1</v>
      </c>
      <c r="W38">
        <f>Table5710[[#This Row],[20260930]]-Table5710[[#This Row],[20260131]]</f>
        <v>-3</v>
      </c>
      <c r="X38" s="6">
        <f>Table5710[[#This Row],[selisih]]/Table5710[[#This Row],[20260131]]</f>
        <v>-0.75</v>
      </c>
    </row>
    <row r="39" spans="1:24">
      <c r="A39">
        <v>20260228</v>
      </c>
      <c r="B39" t="s">
        <v>13</v>
      </c>
      <c r="C39" t="s">
        <v>21</v>
      </c>
      <c r="D39">
        <v>987364</v>
      </c>
      <c r="F39" t="s">
        <v>13</v>
      </c>
      <c r="G39" t="s">
        <v>19</v>
      </c>
      <c r="H39">
        <v>199536</v>
      </c>
      <c r="I39">
        <v>202094</v>
      </c>
      <c r="J39">
        <f>Table57[[#This Row],[20260930]]-Table57[[#This Row],[20260131]]</f>
        <v>2558</v>
      </c>
      <c r="K39" s="6">
        <f>Table57[[#This Row],[selisih]]/Table57[[#This Row],[20260131]]</f>
        <v>1.2819741800978269E-2</v>
      </c>
      <c r="S39" t="s">
        <v>4</v>
      </c>
      <c r="T39" t="s">
        <v>14</v>
      </c>
      <c r="U39">
        <v>390635</v>
      </c>
      <c r="V39">
        <v>386438</v>
      </c>
      <c r="W39">
        <f>Table5710[[#This Row],[20260930]]-Table5710[[#This Row],[20260131]]</f>
        <v>-4197</v>
      </c>
      <c r="X39" s="6">
        <f>Table5710[[#This Row],[selisih]]/Table5710[[#This Row],[20260131]]</f>
        <v>-1.0744044952449218E-2</v>
      </c>
    </row>
    <row r="40" spans="1:24">
      <c r="A40">
        <v>20260228</v>
      </c>
      <c r="B40" t="s">
        <v>13</v>
      </c>
      <c r="C40" t="s">
        <v>17</v>
      </c>
      <c r="D40">
        <v>6</v>
      </c>
      <c r="F40" t="s">
        <v>13</v>
      </c>
      <c r="G40" t="s">
        <v>12</v>
      </c>
      <c r="H40">
        <v>2404</v>
      </c>
      <c r="I40">
        <v>4006</v>
      </c>
      <c r="J40">
        <f>Table57[[#This Row],[20260930]]-Table57[[#This Row],[20260131]]</f>
        <v>1602</v>
      </c>
      <c r="K40" s="6">
        <f>Table57[[#This Row],[selisih]]/Table57[[#This Row],[20260131]]</f>
        <v>0.66638935108153075</v>
      </c>
      <c r="S40" t="s">
        <v>4</v>
      </c>
      <c r="T40" t="s">
        <v>9</v>
      </c>
      <c r="U40">
        <v>157883</v>
      </c>
      <c r="V40">
        <v>133646</v>
      </c>
      <c r="W40">
        <f>Table5710[[#This Row],[20260930]]-Table5710[[#This Row],[20260131]]</f>
        <v>-24237</v>
      </c>
      <c r="X40" s="6">
        <f>Table5710[[#This Row],[selisih]]/Table5710[[#This Row],[20260131]]</f>
        <v>-0.15351241108922431</v>
      </c>
    </row>
    <row r="41" spans="1:24">
      <c r="A41">
        <v>20260331</v>
      </c>
      <c r="B41" t="s">
        <v>4</v>
      </c>
      <c r="C41" t="s">
        <v>5</v>
      </c>
      <c r="D41">
        <v>1833996</v>
      </c>
      <c r="F41" t="s">
        <v>13</v>
      </c>
      <c r="G41" t="s">
        <v>18</v>
      </c>
      <c r="H41">
        <v>136749</v>
      </c>
      <c r="I41">
        <v>138005</v>
      </c>
      <c r="J41">
        <f>Table57[[#This Row],[20260930]]-Table57[[#This Row],[20260131]]</f>
        <v>1256</v>
      </c>
      <c r="K41" s="6">
        <f>Table57[[#This Row],[selisih]]/Table57[[#This Row],[20260131]]</f>
        <v>9.1847106743010911E-3</v>
      </c>
      <c r="S41" t="s">
        <v>10</v>
      </c>
      <c r="T41" t="s">
        <v>5</v>
      </c>
      <c r="U41">
        <v>8967941</v>
      </c>
      <c r="V41">
        <v>8939694</v>
      </c>
      <c r="W41">
        <f>Table5710[[#This Row],[20260930]]-Table5710[[#This Row],[20260131]]</f>
        <v>-28247</v>
      </c>
      <c r="X41" s="6">
        <f>Table5710[[#This Row],[selisih]]/Table5710[[#This Row],[20260131]]</f>
        <v>-3.149775405525081E-3</v>
      </c>
    </row>
    <row r="42" spans="1:24">
      <c r="A42">
        <v>20260331</v>
      </c>
      <c r="B42" t="s">
        <v>4</v>
      </c>
      <c r="C42" t="s">
        <v>7</v>
      </c>
      <c r="D42">
        <v>85614</v>
      </c>
      <c r="F42" t="s">
        <v>13</v>
      </c>
      <c r="G42" t="s">
        <v>17</v>
      </c>
      <c r="H42">
        <v>6</v>
      </c>
      <c r="I42">
        <v>6</v>
      </c>
      <c r="J42">
        <f>Table57[[#This Row],[20260930]]-Table57[[#This Row],[20260131]]</f>
        <v>0</v>
      </c>
      <c r="K42" s="6">
        <f>Table57[[#This Row],[selisih]]/Table57[[#This Row],[20260131]]</f>
        <v>0</v>
      </c>
      <c r="S42" t="s">
        <v>13</v>
      </c>
      <c r="T42" t="s">
        <v>8</v>
      </c>
      <c r="U42">
        <v>7979604</v>
      </c>
      <c r="V42">
        <v>7949293</v>
      </c>
      <c r="W42">
        <f>Table5710[[#This Row],[20260930]]-Table5710[[#This Row],[20260131]]</f>
        <v>-30311</v>
      </c>
      <c r="X42" s="6">
        <f>Table5710[[#This Row],[selisih]]/Table5710[[#This Row],[20260131]]</f>
        <v>-3.7985594272597987E-3</v>
      </c>
    </row>
    <row r="43" spans="1:24">
      <c r="A43">
        <v>20260331</v>
      </c>
      <c r="B43" t="s">
        <v>4</v>
      </c>
      <c r="C43" t="s">
        <v>8</v>
      </c>
      <c r="D43">
        <v>1902453</v>
      </c>
      <c r="F43" t="s">
        <v>13</v>
      </c>
      <c r="G43" t="s">
        <v>15</v>
      </c>
      <c r="H43">
        <v>4</v>
      </c>
      <c r="I43">
        <v>1</v>
      </c>
      <c r="J43">
        <f>Table57[[#This Row],[20260930]]-Table57[[#This Row],[20260131]]</f>
        <v>-3</v>
      </c>
      <c r="K43" s="6">
        <f>Table57[[#This Row],[selisih]]/Table57[[#This Row],[20260131]]</f>
        <v>-0.75</v>
      </c>
      <c r="S43" t="s">
        <v>4</v>
      </c>
      <c r="T43" t="s">
        <v>7</v>
      </c>
      <c r="U43">
        <v>85007</v>
      </c>
      <c r="V43">
        <v>3892</v>
      </c>
      <c r="W43">
        <f>Table5710[[#This Row],[20260930]]-Table5710[[#This Row],[20260131]]</f>
        <v>-81115</v>
      </c>
      <c r="X43" s="6">
        <f>Table5710[[#This Row],[selisih]]/Table5710[[#This Row],[20260131]]</f>
        <v>-0.9542155351912196</v>
      </c>
    </row>
    <row r="44" spans="1:24">
      <c r="A44">
        <v>20260331</v>
      </c>
      <c r="B44" t="s">
        <v>4</v>
      </c>
      <c r="C44" t="s">
        <v>9</v>
      </c>
      <c r="D44">
        <v>154209</v>
      </c>
      <c r="F44" t="s">
        <v>4</v>
      </c>
      <c r="G44" t="s">
        <v>14</v>
      </c>
      <c r="H44">
        <v>390635</v>
      </c>
      <c r="I44">
        <v>386438</v>
      </c>
      <c r="J44">
        <f>Table57[[#This Row],[20260930]]-Table57[[#This Row],[20260131]]</f>
        <v>-4197</v>
      </c>
      <c r="K44" s="6">
        <f>Table57[[#This Row],[selisih]]/Table57[[#This Row],[20260131]]</f>
        <v>-1.0744044952449218E-2</v>
      </c>
      <c r="S44" t="s">
        <v>4</v>
      </c>
      <c r="T44" t="s">
        <v>15</v>
      </c>
      <c r="U44">
        <v>8165506</v>
      </c>
      <c r="V44">
        <v>7974683</v>
      </c>
      <c r="W44">
        <f>Table5710[[#This Row],[20260930]]-Table5710[[#This Row],[20260131]]</f>
        <v>-190823</v>
      </c>
      <c r="X44" s="6">
        <f>Table5710[[#This Row],[selisih]]/Table5710[[#This Row],[20260131]]</f>
        <v>-2.3369402949431427E-2</v>
      </c>
    </row>
    <row r="45" spans="1:24">
      <c r="A45">
        <v>20260331</v>
      </c>
      <c r="B45" t="s">
        <v>4</v>
      </c>
      <c r="C45" t="s">
        <v>11</v>
      </c>
      <c r="D45">
        <v>822455</v>
      </c>
      <c r="F45" t="s">
        <v>4</v>
      </c>
      <c r="G45" t="s">
        <v>9</v>
      </c>
      <c r="H45">
        <v>157883</v>
      </c>
      <c r="I45">
        <v>133646</v>
      </c>
      <c r="J45">
        <f>Table57[[#This Row],[20260930]]-Table57[[#This Row],[20260131]]</f>
        <v>-24237</v>
      </c>
      <c r="K45" s="6">
        <f>Table57[[#This Row],[selisih]]/Table57[[#This Row],[20260131]]</f>
        <v>-0.15351241108922431</v>
      </c>
      <c r="S45" t="s">
        <v>4</v>
      </c>
      <c r="T45" t="s">
        <v>11</v>
      </c>
      <c r="U45">
        <v>910590</v>
      </c>
      <c r="V45">
        <v>523466</v>
      </c>
      <c r="W45">
        <f>Table5710[[#This Row],[20260930]]-Table5710[[#This Row],[20260131]]</f>
        <v>-387124</v>
      </c>
      <c r="X45" s="6">
        <f>Table5710[[#This Row],[selisih]]/Table5710[[#This Row],[20260131]]</f>
        <v>-0.42513535180487377</v>
      </c>
    </row>
    <row r="46" spans="1:24">
      <c r="A46">
        <v>20260331</v>
      </c>
      <c r="B46" t="s">
        <v>4</v>
      </c>
      <c r="C46" t="s">
        <v>14</v>
      </c>
      <c r="D46">
        <v>397084</v>
      </c>
      <c r="F46" t="s">
        <v>10</v>
      </c>
      <c r="G46" t="s">
        <v>5</v>
      </c>
      <c r="H46">
        <v>8967941</v>
      </c>
      <c r="I46">
        <v>8939694</v>
      </c>
      <c r="J46">
        <f>Table57[[#This Row],[20260930]]-Table57[[#This Row],[20260131]]</f>
        <v>-28247</v>
      </c>
      <c r="K46" s="6">
        <f>Table57[[#This Row],[selisih]]/Table57[[#This Row],[20260131]]</f>
        <v>-3.149775405525081E-3</v>
      </c>
    </row>
    <row r="47" spans="1:24">
      <c r="A47">
        <v>20260331</v>
      </c>
      <c r="B47" t="s">
        <v>4</v>
      </c>
      <c r="C47" t="s">
        <v>15</v>
      </c>
      <c r="D47">
        <v>8126421</v>
      </c>
      <c r="F47" t="s">
        <v>13</v>
      </c>
      <c r="G47" t="s">
        <v>8</v>
      </c>
      <c r="H47">
        <v>7979604</v>
      </c>
      <c r="I47">
        <v>7949293</v>
      </c>
      <c r="J47">
        <f>Table57[[#This Row],[20260930]]-Table57[[#This Row],[20260131]]</f>
        <v>-30311</v>
      </c>
      <c r="K47" s="6">
        <f>Table57[[#This Row],[selisih]]/Table57[[#This Row],[20260131]]</f>
        <v>-3.7985594272597987E-3</v>
      </c>
    </row>
    <row r="48" spans="1:24">
      <c r="A48">
        <v>20260331</v>
      </c>
      <c r="B48" t="s">
        <v>4</v>
      </c>
      <c r="C48" t="s">
        <v>16</v>
      </c>
      <c r="D48">
        <v>503369</v>
      </c>
      <c r="F48" t="s">
        <v>4</v>
      </c>
      <c r="G48" t="s">
        <v>7</v>
      </c>
      <c r="H48">
        <v>85007</v>
      </c>
      <c r="I48">
        <v>3892</v>
      </c>
      <c r="J48">
        <f>Table57[[#This Row],[20260930]]-Table57[[#This Row],[20260131]]</f>
        <v>-81115</v>
      </c>
      <c r="K48" s="6">
        <f>Table57[[#This Row],[selisih]]/Table57[[#This Row],[20260131]]</f>
        <v>-0.9542155351912196</v>
      </c>
    </row>
    <row r="49" spans="1:11">
      <c r="A49">
        <v>20260331</v>
      </c>
      <c r="B49" t="s">
        <v>4</v>
      </c>
      <c r="C49" t="s">
        <v>17</v>
      </c>
      <c r="D49">
        <v>34494</v>
      </c>
      <c r="F49" t="s">
        <v>4</v>
      </c>
      <c r="G49" t="s">
        <v>15</v>
      </c>
      <c r="H49">
        <v>8165506</v>
      </c>
      <c r="I49">
        <v>7974683</v>
      </c>
      <c r="J49">
        <f>Table57[[#This Row],[20260930]]-Table57[[#This Row],[20260131]]</f>
        <v>-190823</v>
      </c>
      <c r="K49" s="6">
        <f>Table57[[#This Row],[selisih]]/Table57[[#This Row],[20260131]]</f>
        <v>-2.3369402949431427E-2</v>
      </c>
    </row>
    <row r="50" spans="1:11">
      <c r="A50">
        <v>20260331</v>
      </c>
      <c r="B50" t="s">
        <v>10</v>
      </c>
      <c r="C50" t="s">
        <v>5</v>
      </c>
      <c r="D50">
        <v>8957297</v>
      </c>
      <c r="F50" t="s">
        <v>4</v>
      </c>
      <c r="G50" t="s">
        <v>11</v>
      </c>
      <c r="H50">
        <v>910590</v>
      </c>
      <c r="I50">
        <v>523466</v>
      </c>
      <c r="J50">
        <f>Table57[[#This Row],[20260930]]-Table57[[#This Row],[20260131]]</f>
        <v>-387124</v>
      </c>
      <c r="K50" s="6">
        <f>Table57[[#This Row],[selisih]]/Table57[[#This Row],[20260131]]</f>
        <v>-0.42513535180487377</v>
      </c>
    </row>
    <row r="51" spans="1:11">
      <c r="A51">
        <v>20260331</v>
      </c>
      <c r="B51" t="s">
        <v>13</v>
      </c>
      <c r="C51" t="s">
        <v>12</v>
      </c>
      <c r="D51">
        <v>3510</v>
      </c>
    </row>
    <row r="52" spans="1:11">
      <c r="A52">
        <v>20260331</v>
      </c>
      <c r="B52" t="s">
        <v>13</v>
      </c>
      <c r="C52" t="s">
        <v>8</v>
      </c>
      <c r="D52">
        <v>7965350</v>
      </c>
    </row>
    <row r="53" spans="1:11">
      <c r="A53">
        <v>20260331</v>
      </c>
      <c r="B53" t="s">
        <v>13</v>
      </c>
      <c r="C53" t="s">
        <v>18</v>
      </c>
      <c r="D53">
        <v>135872</v>
      </c>
    </row>
    <row r="54" spans="1:11">
      <c r="A54">
        <v>20260331</v>
      </c>
      <c r="B54" t="s">
        <v>13</v>
      </c>
      <c r="C54" t="s">
        <v>14</v>
      </c>
      <c r="D54">
        <v>3116127</v>
      </c>
    </row>
    <row r="55" spans="1:11">
      <c r="A55">
        <v>20260331</v>
      </c>
      <c r="B55" t="s">
        <v>13</v>
      </c>
      <c r="C55" t="s">
        <v>19</v>
      </c>
      <c r="D55">
        <v>199710</v>
      </c>
    </row>
    <row r="56" spans="1:11">
      <c r="A56">
        <v>20260331</v>
      </c>
      <c r="B56" t="s">
        <v>13</v>
      </c>
      <c r="C56" t="s">
        <v>20</v>
      </c>
      <c r="D56">
        <v>98171</v>
      </c>
    </row>
    <row r="57" spans="1:11">
      <c r="A57">
        <v>20260331</v>
      </c>
      <c r="B57" t="s">
        <v>13</v>
      </c>
      <c r="C57" t="s">
        <v>15</v>
      </c>
      <c r="D57">
        <v>4</v>
      </c>
    </row>
    <row r="58" spans="1:11">
      <c r="A58">
        <v>20260331</v>
      </c>
      <c r="B58" t="s">
        <v>13</v>
      </c>
      <c r="C58" t="s">
        <v>21</v>
      </c>
      <c r="D58">
        <v>1000395</v>
      </c>
    </row>
    <row r="59" spans="1:11">
      <c r="A59">
        <v>20260331</v>
      </c>
      <c r="B59" t="s">
        <v>13</v>
      </c>
      <c r="C59" t="s">
        <v>17</v>
      </c>
      <c r="D59">
        <v>6</v>
      </c>
    </row>
    <row r="60" spans="1:11">
      <c r="A60">
        <v>20260430</v>
      </c>
      <c r="B60" t="s">
        <v>4</v>
      </c>
      <c r="C60" t="s">
        <v>5</v>
      </c>
      <c r="D60">
        <v>1848686</v>
      </c>
    </row>
    <row r="61" spans="1:11">
      <c r="A61">
        <v>20260430</v>
      </c>
      <c r="B61" t="s">
        <v>4</v>
      </c>
      <c r="C61" t="s">
        <v>7</v>
      </c>
      <c r="D61">
        <v>86308</v>
      </c>
    </row>
    <row r="62" spans="1:11">
      <c r="A62">
        <v>20260430</v>
      </c>
      <c r="B62" t="s">
        <v>4</v>
      </c>
      <c r="C62" t="s">
        <v>8</v>
      </c>
      <c r="D62">
        <v>1935137</v>
      </c>
    </row>
    <row r="63" spans="1:11">
      <c r="A63">
        <v>20260430</v>
      </c>
      <c r="B63" t="s">
        <v>4</v>
      </c>
      <c r="C63" t="s">
        <v>9</v>
      </c>
      <c r="D63">
        <v>149766</v>
      </c>
    </row>
    <row r="64" spans="1:11">
      <c r="A64">
        <v>20260430</v>
      </c>
      <c r="B64" t="s">
        <v>4</v>
      </c>
      <c r="C64" t="s">
        <v>11</v>
      </c>
      <c r="D64">
        <v>763588</v>
      </c>
    </row>
    <row r="65" spans="1:4">
      <c r="A65">
        <v>20260430</v>
      </c>
      <c r="B65" t="s">
        <v>4</v>
      </c>
      <c r="C65" t="s">
        <v>14</v>
      </c>
      <c r="D65">
        <v>399656</v>
      </c>
    </row>
    <row r="66" spans="1:4">
      <c r="A66">
        <v>20260430</v>
      </c>
      <c r="B66" t="s">
        <v>4</v>
      </c>
      <c r="C66" t="s">
        <v>15</v>
      </c>
      <c r="D66">
        <v>8152902</v>
      </c>
    </row>
    <row r="67" spans="1:4">
      <c r="A67">
        <v>20260430</v>
      </c>
      <c r="B67" t="s">
        <v>4</v>
      </c>
      <c r="C67" t="s">
        <v>16</v>
      </c>
      <c r="D67">
        <v>516505</v>
      </c>
    </row>
    <row r="68" spans="1:4">
      <c r="A68">
        <v>20260430</v>
      </c>
      <c r="B68" t="s">
        <v>4</v>
      </c>
      <c r="C68" t="s">
        <v>17</v>
      </c>
      <c r="D68">
        <v>34593</v>
      </c>
    </row>
    <row r="69" spans="1:4">
      <c r="A69">
        <v>20260430</v>
      </c>
      <c r="B69" t="s">
        <v>10</v>
      </c>
      <c r="C69" t="s">
        <v>5</v>
      </c>
      <c r="D69">
        <v>8953067</v>
      </c>
    </row>
    <row r="70" spans="1:4">
      <c r="A70">
        <v>20260430</v>
      </c>
      <c r="B70" t="s">
        <v>13</v>
      </c>
      <c r="C70" t="s">
        <v>12</v>
      </c>
      <c r="D70">
        <v>3584</v>
      </c>
    </row>
    <row r="71" spans="1:4">
      <c r="A71">
        <v>20260430</v>
      </c>
      <c r="B71" t="s">
        <v>13</v>
      </c>
      <c r="C71" t="s">
        <v>8</v>
      </c>
      <c r="D71">
        <v>7943863</v>
      </c>
    </row>
    <row r="72" spans="1:4">
      <c r="A72">
        <v>20260430</v>
      </c>
      <c r="B72" t="s">
        <v>13</v>
      </c>
      <c r="C72" t="s">
        <v>18</v>
      </c>
      <c r="D72">
        <v>134657</v>
      </c>
    </row>
    <row r="73" spans="1:4">
      <c r="A73">
        <v>20260430</v>
      </c>
      <c r="B73" t="s">
        <v>13</v>
      </c>
      <c r="C73" t="s">
        <v>14</v>
      </c>
      <c r="D73">
        <v>3168295</v>
      </c>
    </row>
    <row r="74" spans="1:4">
      <c r="A74">
        <v>20260430</v>
      </c>
      <c r="B74" t="s">
        <v>13</v>
      </c>
      <c r="C74" t="s">
        <v>19</v>
      </c>
      <c r="D74">
        <v>200111</v>
      </c>
    </row>
    <row r="75" spans="1:4">
      <c r="A75">
        <v>20260430</v>
      </c>
      <c r="B75" t="s">
        <v>13</v>
      </c>
      <c r="C75" t="s">
        <v>20</v>
      </c>
      <c r="D75">
        <v>100451</v>
      </c>
    </row>
    <row r="76" spans="1:4">
      <c r="A76">
        <v>20260430</v>
      </c>
      <c r="B76" t="s">
        <v>13</v>
      </c>
      <c r="C76" t="s">
        <v>15</v>
      </c>
      <c r="D76">
        <v>3</v>
      </c>
    </row>
    <row r="77" spans="1:4">
      <c r="A77">
        <v>20260430</v>
      </c>
      <c r="B77" t="s">
        <v>13</v>
      </c>
      <c r="C77" t="s">
        <v>21</v>
      </c>
      <c r="D77">
        <v>1012751</v>
      </c>
    </row>
    <row r="78" spans="1:4">
      <c r="A78">
        <v>20260430</v>
      </c>
      <c r="B78" t="s">
        <v>13</v>
      </c>
      <c r="C78" t="s">
        <v>17</v>
      </c>
      <c r="D78">
        <v>6</v>
      </c>
    </row>
    <row r="79" spans="1:4">
      <c r="A79">
        <v>20260531</v>
      </c>
      <c r="B79" t="s">
        <v>4</v>
      </c>
      <c r="C79" t="s">
        <v>5</v>
      </c>
      <c r="D79">
        <v>1853261</v>
      </c>
    </row>
    <row r="80" spans="1:4">
      <c r="A80">
        <v>20260531</v>
      </c>
      <c r="B80" t="s">
        <v>4</v>
      </c>
      <c r="C80" t="s">
        <v>7</v>
      </c>
      <c r="D80">
        <v>86171</v>
      </c>
    </row>
    <row r="81" spans="1:4">
      <c r="A81">
        <v>20260531</v>
      </c>
      <c r="B81" t="s">
        <v>4</v>
      </c>
      <c r="C81" t="s">
        <v>8</v>
      </c>
      <c r="D81">
        <v>1950513</v>
      </c>
    </row>
    <row r="82" spans="1:4">
      <c r="A82">
        <v>20260531</v>
      </c>
      <c r="B82" t="s">
        <v>4</v>
      </c>
      <c r="C82" t="s">
        <v>9</v>
      </c>
      <c r="D82">
        <v>146676</v>
      </c>
    </row>
    <row r="83" spans="1:4">
      <c r="A83">
        <v>20260531</v>
      </c>
      <c r="B83" t="s">
        <v>4</v>
      </c>
      <c r="C83" t="s">
        <v>11</v>
      </c>
      <c r="D83">
        <v>705867</v>
      </c>
    </row>
    <row r="84" spans="1:4">
      <c r="A84">
        <v>20260531</v>
      </c>
      <c r="B84" t="s">
        <v>4</v>
      </c>
      <c r="C84" t="s">
        <v>14</v>
      </c>
      <c r="D84">
        <v>397555</v>
      </c>
    </row>
    <row r="85" spans="1:4">
      <c r="A85">
        <v>20260531</v>
      </c>
      <c r="B85" t="s">
        <v>4</v>
      </c>
      <c r="C85" t="s">
        <v>15</v>
      </c>
      <c r="D85">
        <v>8091536</v>
      </c>
    </row>
    <row r="86" spans="1:4">
      <c r="A86">
        <v>20260531</v>
      </c>
      <c r="B86" t="s">
        <v>4</v>
      </c>
      <c r="C86" t="s">
        <v>16</v>
      </c>
      <c r="D86">
        <v>529041</v>
      </c>
    </row>
    <row r="87" spans="1:4">
      <c r="A87">
        <v>20260531</v>
      </c>
      <c r="B87" t="s">
        <v>4</v>
      </c>
      <c r="C87" t="s">
        <v>17</v>
      </c>
      <c r="D87">
        <v>34949</v>
      </c>
    </row>
    <row r="88" spans="1:4">
      <c r="A88">
        <v>20260531</v>
      </c>
      <c r="B88" t="s">
        <v>10</v>
      </c>
      <c r="C88" t="s">
        <v>5</v>
      </c>
      <c r="D88">
        <v>8945691</v>
      </c>
    </row>
    <row r="89" spans="1:4">
      <c r="A89">
        <v>20260531</v>
      </c>
      <c r="B89" t="s">
        <v>13</v>
      </c>
      <c r="C89" t="s">
        <v>12</v>
      </c>
      <c r="D89">
        <v>3602</v>
      </c>
    </row>
    <row r="90" spans="1:4">
      <c r="A90">
        <v>20260531</v>
      </c>
      <c r="B90" t="s">
        <v>13</v>
      </c>
      <c r="C90" t="s">
        <v>8</v>
      </c>
      <c r="D90">
        <v>7870817</v>
      </c>
    </row>
    <row r="91" spans="1:4">
      <c r="A91">
        <v>20260531</v>
      </c>
      <c r="B91" t="s">
        <v>13</v>
      </c>
      <c r="C91" t="s">
        <v>18</v>
      </c>
      <c r="D91">
        <v>132895</v>
      </c>
    </row>
    <row r="92" spans="1:4">
      <c r="A92">
        <v>20260531</v>
      </c>
      <c r="B92" t="s">
        <v>13</v>
      </c>
      <c r="C92" t="s">
        <v>14</v>
      </c>
      <c r="D92">
        <v>3196815</v>
      </c>
    </row>
    <row r="93" spans="1:4">
      <c r="A93">
        <v>20260531</v>
      </c>
      <c r="B93" t="s">
        <v>13</v>
      </c>
      <c r="C93" t="s">
        <v>19</v>
      </c>
      <c r="D93">
        <v>197543</v>
      </c>
    </row>
    <row r="94" spans="1:4">
      <c r="A94">
        <v>20260531</v>
      </c>
      <c r="B94" t="s">
        <v>13</v>
      </c>
      <c r="C94" t="s">
        <v>20</v>
      </c>
      <c r="D94">
        <v>103298</v>
      </c>
    </row>
    <row r="95" spans="1:4">
      <c r="A95">
        <v>20260531</v>
      </c>
      <c r="B95" t="s">
        <v>13</v>
      </c>
      <c r="C95" t="s">
        <v>15</v>
      </c>
      <c r="D95">
        <v>2</v>
      </c>
    </row>
    <row r="96" spans="1:4">
      <c r="A96">
        <v>20260531</v>
      </c>
      <c r="B96" t="s">
        <v>13</v>
      </c>
      <c r="C96" t="s">
        <v>21</v>
      </c>
      <c r="D96">
        <v>1001478</v>
      </c>
    </row>
    <row r="97" spans="1:4">
      <c r="A97">
        <v>20260531</v>
      </c>
      <c r="B97" t="s">
        <v>13</v>
      </c>
      <c r="C97" t="s">
        <v>17</v>
      </c>
      <c r="D97">
        <v>6</v>
      </c>
    </row>
    <row r="98" spans="1:4">
      <c r="A98">
        <v>20260630</v>
      </c>
      <c r="B98" t="s">
        <v>4</v>
      </c>
      <c r="C98" t="s">
        <v>5</v>
      </c>
      <c r="D98">
        <v>1991117</v>
      </c>
    </row>
    <row r="99" spans="1:4">
      <c r="A99">
        <v>20260630</v>
      </c>
      <c r="B99" t="s">
        <v>4</v>
      </c>
      <c r="C99" t="s">
        <v>7</v>
      </c>
      <c r="D99">
        <v>2736</v>
      </c>
    </row>
    <row r="100" spans="1:4">
      <c r="A100">
        <v>20260630</v>
      </c>
      <c r="B100" t="s">
        <v>4</v>
      </c>
      <c r="C100" t="s">
        <v>8</v>
      </c>
      <c r="D100">
        <v>2007871</v>
      </c>
    </row>
    <row r="101" spans="1:4">
      <c r="A101">
        <v>20260630</v>
      </c>
      <c r="B101" t="s">
        <v>4</v>
      </c>
      <c r="C101" t="s">
        <v>9</v>
      </c>
      <c r="D101">
        <v>143143</v>
      </c>
    </row>
    <row r="102" spans="1:4">
      <c r="A102">
        <v>20260630</v>
      </c>
      <c r="B102" t="s">
        <v>4</v>
      </c>
      <c r="C102" t="s">
        <v>11</v>
      </c>
      <c r="D102">
        <v>685052</v>
      </c>
    </row>
    <row r="103" spans="1:4">
      <c r="A103">
        <v>20260630</v>
      </c>
      <c r="B103" t="s">
        <v>4</v>
      </c>
      <c r="C103" t="s">
        <v>14</v>
      </c>
      <c r="D103">
        <v>405089</v>
      </c>
    </row>
    <row r="104" spans="1:4">
      <c r="A104">
        <v>20260630</v>
      </c>
      <c r="B104" t="s">
        <v>4</v>
      </c>
      <c r="C104" t="s">
        <v>15</v>
      </c>
      <c r="D104">
        <v>8315618</v>
      </c>
    </row>
    <row r="105" spans="1:4">
      <c r="A105">
        <v>20260630</v>
      </c>
      <c r="B105" t="s">
        <v>4</v>
      </c>
      <c r="C105" t="s">
        <v>16</v>
      </c>
      <c r="D105">
        <v>532237</v>
      </c>
    </row>
    <row r="106" spans="1:4">
      <c r="A106">
        <v>20260630</v>
      </c>
      <c r="B106" t="s">
        <v>4</v>
      </c>
      <c r="C106" t="s">
        <v>17</v>
      </c>
      <c r="D106">
        <v>35156</v>
      </c>
    </row>
    <row r="107" spans="1:4">
      <c r="A107">
        <v>20260630</v>
      </c>
      <c r="B107" t="s">
        <v>10</v>
      </c>
      <c r="C107" t="s">
        <v>5</v>
      </c>
      <c r="D107">
        <v>8940751</v>
      </c>
    </row>
    <row r="108" spans="1:4">
      <c r="A108">
        <v>20260630</v>
      </c>
      <c r="B108" t="s">
        <v>13</v>
      </c>
      <c r="C108" t="s">
        <v>12</v>
      </c>
      <c r="D108">
        <v>3737</v>
      </c>
    </row>
    <row r="109" spans="1:4">
      <c r="A109">
        <v>20260630</v>
      </c>
      <c r="B109" t="s">
        <v>13</v>
      </c>
      <c r="C109" t="s">
        <v>8</v>
      </c>
      <c r="D109">
        <v>7998680</v>
      </c>
    </row>
    <row r="110" spans="1:4">
      <c r="A110">
        <v>20260630</v>
      </c>
      <c r="B110" t="s">
        <v>13</v>
      </c>
      <c r="C110" t="s">
        <v>18</v>
      </c>
      <c r="D110">
        <v>135802</v>
      </c>
    </row>
    <row r="111" spans="1:4">
      <c r="A111">
        <v>20260630</v>
      </c>
      <c r="B111" t="s">
        <v>13</v>
      </c>
      <c r="C111" t="s">
        <v>14</v>
      </c>
      <c r="D111">
        <v>3289139</v>
      </c>
    </row>
    <row r="112" spans="1:4">
      <c r="A112">
        <v>20260630</v>
      </c>
      <c r="B112" t="s">
        <v>13</v>
      </c>
      <c r="C112" t="s">
        <v>19</v>
      </c>
      <c r="D112">
        <v>201768</v>
      </c>
    </row>
    <row r="113" spans="1:4">
      <c r="A113">
        <v>20260630</v>
      </c>
      <c r="B113" t="s">
        <v>13</v>
      </c>
      <c r="C113" t="s">
        <v>20</v>
      </c>
      <c r="D113">
        <v>107257</v>
      </c>
    </row>
    <row r="114" spans="1:4">
      <c r="A114">
        <v>20260630</v>
      </c>
      <c r="B114" t="s">
        <v>13</v>
      </c>
      <c r="C114" t="s">
        <v>15</v>
      </c>
      <c r="D114">
        <v>2</v>
      </c>
    </row>
    <row r="115" spans="1:4">
      <c r="A115">
        <v>20260630</v>
      </c>
      <c r="B115" t="s">
        <v>13</v>
      </c>
      <c r="C115" t="s">
        <v>21</v>
      </c>
      <c r="D115">
        <v>1045621</v>
      </c>
    </row>
    <row r="116" spans="1:4">
      <c r="A116">
        <v>20260630</v>
      </c>
      <c r="B116" t="s">
        <v>13</v>
      </c>
      <c r="C116" t="s">
        <v>17</v>
      </c>
      <c r="D116">
        <v>6</v>
      </c>
    </row>
    <row r="117" spans="1:4">
      <c r="A117">
        <v>20260731</v>
      </c>
      <c r="B117" t="s">
        <v>4</v>
      </c>
      <c r="C117" t="s">
        <v>5</v>
      </c>
      <c r="D117">
        <v>1990060</v>
      </c>
    </row>
    <row r="118" spans="1:4">
      <c r="A118">
        <v>20260731</v>
      </c>
      <c r="B118" t="s">
        <v>4</v>
      </c>
      <c r="C118" t="s">
        <v>7</v>
      </c>
      <c r="D118">
        <v>4017</v>
      </c>
    </row>
    <row r="119" spans="1:4">
      <c r="A119">
        <v>20260731</v>
      </c>
      <c r="B119" t="s">
        <v>4</v>
      </c>
      <c r="C119" t="s">
        <v>8</v>
      </c>
      <c r="D119">
        <v>2000821</v>
      </c>
    </row>
    <row r="120" spans="1:4">
      <c r="A120">
        <v>20260731</v>
      </c>
      <c r="B120" t="s">
        <v>4</v>
      </c>
      <c r="C120" t="s">
        <v>9</v>
      </c>
      <c r="D120">
        <v>141574</v>
      </c>
    </row>
    <row r="121" spans="1:4">
      <c r="A121">
        <v>20260731</v>
      </c>
      <c r="B121" t="s">
        <v>4</v>
      </c>
      <c r="C121" t="s">
        <v>11</v>
      </c>
      <c r="D121">
        <v>615627</v>
      </c>
    </row>
    <row r="122" spans="1:4">
      <c r="A122">
        <v>20260731</v>
      </c>
      <c r="B122" t="s">
        <v>4</v>
      </c>
      <c r="C122" t="s">
        <v>14</v>
      </c>
      <c r="D122">
        <v>396754</v>
      </c>
    </row>
    <row r="123" spans="1:4">
      <c r="A123">
        <v>20260731</v>
      </c>
      <c r="B123" t="s">
        <v>4</v>
      </c>
      <c r="C123" t="s">
        <v>15</v>
      </c>
      <c r="D123">
        <v>8091350</v>
      </c>
    </row>
    <row r="124" spans="1:4">
      <c r="A124">
        <v>20260731</v>
      </c>
      <c r="B124" t="s">
        <v>4</v>
      </c>
      <c r="C124" t="s">
        <v>16</v>
      </c>
      <c r="D124">
        <v>540899</v>
      </c>
    </row>
    <row r="125" spans="1:4">
      <c r="A125">
        <v>20260731</v>
      </c>
      <c r="B125" t="s">
        <v>4</v>
      </c>
      <c r="C125" t="s">
        <v>17</v>
      </c>
      <c r="D125">
        <v>35511</v>
      </c>
    </row>
    <row r="126" spans="1:4">
      <c r="A126">
        <v>20260731</v>
      </c>
      <c r="B126" t="s">
        <v>10</v>
      </c>
      <c r="C126" t="s">
        <v>5</v>
      </c>
      <c r="D126">
        <v>8950313</v>
      </c>
    </row>
    <row r="127" spans="1:4">
      <c r="A127">
        <v>20260731</v>
      </c>
      <c r="B127" t="s">
        <v>13</v>
      </c>
      <c r="C127" t="s">
        <v>12</v>
      </c>
      <c r="D127">
        <v>3818</v>
      </c>
    </row>
    <row r="128" spans="1:4">
      <c r="A128">
        <v>20260731</v>
      </c>
      <c r="B128" t="s">
        <v>13</v>
      </c>
      <c r="C128" t="s">
        <v>8</v>
      </c>
      <c r="D128">
        <v>7902643</v>
      </c>
    </row>
    <row r="129" spans="1:4">
      <c r="A129">
        <v>20260731</v>
      </c>
      <c r="B129" t="s">
        <v>13</v>
      </c>
      <c r="C129" t="s">
        <v>18</v>
      </c>
      <c r="D129">
        <v>135013</v>
      </c>
    </row>
    <row r="130" spans="1:4">
      <c r="A130">
        <v>20260731</v>
      </c>
      <c r="B130" t="s">
        <v>13</v>
      </c>
      <c r="C130" t="s">
        <v>14</v>
      </c>
      <c r="D130">
        <v>3329016</v>
      </c>
    </row>
    <row r="131" spans="1:4">
      <c r="A131">
        <v>20260731</v>
      </c>
      <c r="B131" t="s">
        <v>13</v>
      </c>
      <c r="C131" t="s">
        <v>19</v>
      </c>
      <c r="D131">
        <v>199044</v>
      </c>
    </row>
    <row r="132" spans="1:4">
      <c r="A132">
        <v>20260731</v>
      </c>
      <c r="B132" t="s">
        <v>13</v>
      </c>
      <c r="C132" t="s">
        <v>20</v>
      </c>
      <c r="D132">
        <v>110909</v>
      </c>
    </row>
    <row r="133" spans="1:4">
      <c r="A133">
        <v>20260731</v>
      </c>
      <c r="B133" t="s">
        <v>13</v>
      </c>
      <c r="C133" t="s">
        <v>15</v>
      </c>
      <c r="D133">
        <v>1</v>
      </c>
    </row>
    <row r="134" spans="1:4">
      <c r="A134">
        <v>20260731</v>
      </c>
      <c r="B134" t="s">
        <v>13</v>
      </c>
      <c r="C134" t="s">
        <v>21</v>
      </c>
      <c r="D134">
        <v>1008930</v>
      </c>
    </row>
    <row r="135" spans="1:4">
      <c r="A135">
        <v>20260731</v>
      </c>
      <c r="B135" t="s">
        <v>13</v>
      </c>
      <c r="C135" t="s">
        <v>17</v>
      </c>
      <c r="D135">
        <v>6</v>
      </c>
    </row>
    <row r="136" spans="1:4">
      <c r="A136">
        <v>20260831</v>
      </c>
      <c r="B136" t="s">
        <v>4</v>
      </c>
      <c r="C136" t="s">
        <v>5</v>
      </c>
      <c r="D136">
        <v>1996182</v>
      </c>
    </row>
    <row r="137" spans="1:4">
      <c r="A137">
        <v>20260831</v>
      </c>
      <c r="B137" t="s">
        <v>4</v>
      </c>
      <c r="C137" t="s">
        <v>7</v>
      </c>
      <c r="D137">
        <v>3854</v>
      </c>
    </row>
    <row r="138" spans="1:4">
      <c r="A138">
        <v>20260831</v>
      </c>
      <c r="B138" t="s">
        <v>4</v>
      </c>
      <c r="C138" t="s">
        <v>8</v>
      </c>
      <c r="D138">
        <v>2017395</v>
      </c>
    </row>
    <row r="139" spans="1:4">
      <c r="A139">
        <v>20260831</v>
      </c>
      <c r="B139" t="s">
        <v>4</v>
      </c>
      <c r="C139" t="s">
        <v>9</v>
      </c>
      <c r="D139">
        <v>137945</v>
      </c>
    </row>
    <row r="140" spans="1:4">
      <c r="A140">
        <v>20260831</v>
      </c>
      <c r="B140" t="s">
        <v>4</v>
      </c>
      <c r="C140" t="s">
        <v>11</v>
      </c>
      <c r="D140">
        <v>569921</v>
      </c>
    </row>
    <row r="141" spans="1:4">
      <c r="A141">
        <v>20260831</v>
      </c>
      <c r="B141" t="s">
        <v>4</v>
      </c>
      <c r="C141" t="s">
        <v>14</v>
      </c>
      <c r="D141">
        <v>394329</v>
      </c>
    </row>
    <row r="142" spans="1:4">
      <c r="A142">
        <v>20260831</v>
      </c>
      <c r="B142" t="s">
        <v>4</v>
      </c>
      <c r="C142" t="s">
        <v>15</v>
      </c>
      <c r="D142">
        <v>8034855</v>
      </c>
    </row>
    <row r="143" spans="1:4">
      <c r="A143">
        <v>20260831</v>
      </c>
      <c r="B143" t="s">
        <v>4</v>
      </c>
      <c r="C143" t="s">
        <v>16</v>
      </c>
      <c r="D143">
        <v>547154</v>
      </c>
    </row>
    <row r="144" spans="1:4">
      <c r="A144">
        <v>20260831</v>
      </c>
      <c r="B144" t="s">
        <v>4</v>
      </c>
      <c r="C144" t="s">
        <v>17</v>
      </c>
      <c r="D144">
        <v>36177</v>
      </c>
    </row>
    <row r="145" spans="1:4">
      <c r="A145">
        <v>20260831</v>
      </c>
      <c r="B145" t="s">
        <v>10</v>
      </c>
      <c r="C145" t="s">
        <v>5</v>
      </c>
      <c r="D145">
        <v>8945700</v>
      </c>
    </row>
    <row r="146" spans="1:4">
      <c r="A146">
        <v>20260831</v>
      </c>
      <c r="B146" t="s">
        <v>13</v>
      </c>
      <c r="C146" t="s">
        <v>12</v>
      </c>
      <c r="D146">
        <v>3864</v>
      </c>
    </row>
    <row r="147" spans="1:4">
      <c r="A147">
        <v>20260831</v>
      </c>
      <c r="B147" t="s">
        <v>13</v>
      </c>
      <c r="C147" t="s">
        <v>8</v>
      </c>
      <c r="D147">
        <v>7928772</v>
      </c>
    </row>
    <row r="148" spans="1:4">
      <c r="A148">
        <v>20260831</v>
      </c>
      <c r="B148" t="s">
        <v>13</v>
      </c>
      <c r="C148" t="s">
        <v>18</v>
      </c>
      <c r="D148">
        <v>136623</v>
      </c>
    </row>
    <row r="149" spans="1:4">
      <c r="A149">
        <v>20260831</v>
      </c>
      <c r="B149" t="s">
        <v>13</v>
      </c>
      <c r="C149" t="s">
        <v>14</v>
      </c>
      <c r="D149">
        <v>3389415</v>
      </c>
    </row>
    <row r="150" spans="1:4">
      <c r="A150">
        <v>20260831</v>
      </c>
      <c r="B150" t="s">
        <v>13</v>
      </c>
      <c r="C150" t="s">
        <v>19</v>
      </c>
      <c r="D150">
        <v>200824</v>
      </c>
    </row>
    <row r="151" spans="1:4">
      <c r="A151">
        <v>20260831</v>
      </c>
      <c r="B151" t="s">
        <v>13</v>
      </c>
      <c r="C151" t="s">
        <v>20</v>
      </c>
      <c r="D151">
        <v>112894</v>
      </c>
    </row>
    <row r="152" spans="1:4">
      <c r="A152">
        <v>20260831</v>
      </c>
      <c r="B152" t="s">
        <v>13</v>
      </c>
      <c r="C152" t="s">
        <v>15</v>
      </c>
      <c r="D152">
        <v>1</v>
      </c>
    </row>
    <row r="153" spans="1:4">
      <c r="A153">
        <v>20260831</v>
      </c>
      <c r="B153" t="s">
        <v>13</v>
      </c>
      <c r="C153" t="s">
        <v>21</v>
      </c>
      <c r="D153">
        <v>1018757</v>
      </c>
    </row>
    <row r="154" spans="1:4">
      <c r="A154">
        <v>20260831</v>
      </c>
      <c r="B154" t="s">
        <v>13</v>
      </c>
      <c r="C154" t="s">
        <v>17</v>
      </c>
      <c r="D154">
        <v>6</v>
      </c>
    </row>
    <row r="155" spans="1:4">
      <c r="A155">
        <v>20260930</v>
      </c>
      <c r="B155" t="s">
        <v>4</v>
      </c>
      <c r="C155" t="s">
        <v>5</v>
      </c>
      <c r="D155">
        <v>2000255</v>
      </c>
    </row>
    <row r="156" spans="1:4">
      <c r="A156">
        <v>20260930</v>
      </c>
      <c r="B156" t="s">
        <v>4</v>
      </c>
      <c r="C156" t="s">
        <v>7</v>
      </c>
      <c r="D156">
        <v>3892</v>
      </c>
    </row>
    <row r="157" spans="1:4">
      <c r="A157">
        <v>20260930</v>
      </c>
      <c r="B157" t="s">
        <v>4</v>
      </c>
      <c r="C157" t="s">
        <v>8</v>
      </c>
      <c r="D157">
        <v>2013676</v>
      </c>
    </row>
    <row r="158" spans="1:4">
      <c r="A158">
        <v>20260930</v>
      </c>
      <c r="B158" t="s">
        <v>4</v>
      </c>
      <c r="C158" t="s">
        <v>9</v>
      </c>
      <c r="D158">
        <v>133646</v>
      </c>
    </row>
    <row r="159" spans="1:4">
      <c r="A159">
        <v>20260930</v>
      </c>
      <c r="B159" t="s">
        <v>4</v>
      </c>
      <c r="C159" t="s">
        <v>11</v>
      </c>
      <c r="D159">
        <v>523466</v>
      </c>
    </row>
    <row r="160" spans="1:4">
      <c r="A160">
        <v>20260930</v>
      </c>
      <c r="B160" t="s">
        <v>4</v>
      </c>
      <c r="C160" t="s">
        <v>14</v>
      </c>
      <c r="D160">
        <v>386438</v>
      </c>
    </row>
    <row r="161" spans="1:4">
      <c r="A161">
        <v>20260930</v>
      </c>
      <c r="B161" t="s">
        <v>4</v>
      </c>
      <c r="C161" t="s">
        <v>15</v>
      </c>
      <c r="D161">
        <v>7974683</v>
      </c>
    </row>
    <row r="162" spans="1:4">
      <c r="A162">
        <v>20260930</v>
      </c>
      <c r="B162" t="s">
        <v>4</v>
      </c>
      <c r="C162" t="s">
        <v>16</v>
      </c>
      <c r="D162">
        <v>543113</v>
      </c>
    </row>
    <row r="163" spans="1:4">
      <c r="A163">
        <v>20260930</v>
      </c>
      <c r="B163" t="s">
        <v>4</v>
      </c>
      <c r="C163" t="s">
        <v>17</v>
      </c>
      <c r="D163">
        <v>37899</v>
      </c>
    </row>
    <row r="164" spans="1:4">
      <c r="A164">
        <v>20260930</v>
      </c>
      <c r="B164" t="s">
        <v>10</v>
      </c>
      <c r="C164" t="s">
        <v>5</v>
      </c>
      <c r="D164">
        <v>8939694</v>
      </c>
    </row>
    <row r="165" spans="1:4">
      <c r="A165">
        <v>20260930</v>
      </c>
      <c r="B165" t="s">
        <v>13</v>
      </c>
      <c r="C165" t="s">
        <v>12</v>
      </c>
      <c r="D165">
        <v>4006</v>
      </c>
    </row>
    <row r="166" spans="1:4">
      <c r="A166">
        <v>20260930</v>
      </c>
      <c r="B166" t="s">
        <v>13</v>
      </c>
      <c r="C166" t="s">
        <v>8</v>
      </c>
      <c r="D166">
        <v>7949293</v>
      </c>
    </row>
    <row r="167" spans="1:4">
      <c r="A167">
        <v>20260930</v>
      </c>
      <c r="B167" t="s">
        <v>13</v>
      </c>
      <c r="C167" t="s">
        <v>18</v>
      </c>
      <c r="D167">
        <v>138005</v>
      </c>
    </row>
    <row r="168" spans="1:4">
      <c r="A168">
        <v>20260930</v>
      </c>
      <c r="B168" t="s">
        <v>13</v>
      </c>
      <c r="C168" t="s">
        <v>14</v>
      </c>
      <c r="D168">
        <v>3412714</v>
      </c>
    </row>
    <row r="169" spans="1:4">
      <c r="A169">
        <v>20260930</v>
      </c>
      <c r="B169" t="s">
        <v>13</v>
      </c>
      <c r="C169" t="s">
        <v>19</v>
      </c>
      <c r="D169">
        <v>202094</v>
      </c>
    </row>
    <row r="170" spans="1:4">
      <c r="A170">
        <v>20260930</v>
      </c>
      <c r="B170" t="s">
        <v>13</v>
      </c>
      <c r="C170" t="s">
        <v>20</v>
      </c>
      <c r="D170">
        <v>114846</v>
      </c>
    </row>
    <row r="171" spans="1:4">
      <c r="A171">
        <v>20260930</v>
      </c>
      <c r="B171" t="s">
        <v>13</v>
      </c>
      <c r="C171" t="s">
        <v>15</v>
      </c>
      <c r="D171">
        <v>1</v>
      </c>
    </row>
    <row r="172" spans="1:4">
      <c r="A172">
        <v>20260930</v>
      </c>
      <c r="B172" t="s">
        <v>13</v>
      </c>
      <c r="C172" t="s">
        <v>21</v>
      </c>
      <c r="D172">
        <v>1023050</v>
      </c>
    </row>
    <row r="173" spans="1:4">
      <c r="A173">
        <v>20260930</v>
      </c>
      <c r="B173" t="s">
        <v>13</v>
      </c>
      <c r="C173" t="s">
        <v>17</v>
      </c>
      <c r="D173">
        <v>6</v>
      </c>
    </row>
  </sheetData>
  <conditionalFormatting sqref="J32:J50">
    <cfRule type="cellIs" dxfId="26" priority="14" operator="greaterThan">
      <formula>0</formula>
    </cfRule>
  </conditionalFormatting>
  <conditionalFormatting sqref="J32:J50">
    <cfRule type="cellIs" dxfId="25" priority="13" operator="lessThan">
      <formula>0</formula>
    </cfRule>
  </conditionalFormatting>
  <conditionalFormatting sqref="J32:J50"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AD5:AK23">
    <cfRule type="cellIs" dxfId="24" priority="8" operator="greaterThan">
      <formula>0</formula>
    </cfRule>
  </conditionalFormatting>
  <conditionalFormatting sqref="AD5:AK23">
    <cfRule type="cellIs" dxfId="23" priority="6" operator="lessThan">
      <formula>0</formula>
    </cfRule>
  </conditionalFormatting>
  <conditionalFormatting sqref="W27:W45">
    <cfRule type="cellIs" dxfId="22" priority="5" operator="greaterThan">
      <formula>0</formula>
    </cfRule>
  </conditionalFormatting>
  <conditionalFormatting sqref="W27:W45">
    <cfRule type="cellIs" dxfId="21" priority="4" operator="lessThan">
      <formula>0</formula>
    </cfRule>
  </conditionalFormatting>
  <conditionalFormatting sqref="W27:W45">
    <cfRule type="iconSet" priority="3">
      <iconSet iconSet="3Arrows">
        <cfvo type="percent" val="0"/>
        <cfvo type="percent" val="33"/>
        <cfvo type="percent" val="67"/>
      </iconSet>
    </cfRule>
  </conditionalFormatting>
  <conditionalFormatting sqref="AL5:AL23">
    <cfRule type="cellIs" dxfId="20" priority="2" operator="lessThan">
      <formula>0</formula>
    </cfRule>
  </conditionalFormatting>
  <conditionalFormatting sqref="AL5:AL23">
    <cfRule type="cellIs" dxfId="19" priority="1" operator="greaterThan">
      <formula>0</formula>
    </cfRule>
  </conditionalFormatting>
  <pageMargins left="0.7" right="0.7" top="0.75" bottom="0.75" header="0.3" footer="0.3"/>
  <tableParts count="4"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485A-6F04-4BBD-9F6A-399EE2CAAF46}">
  <dimension ref="A1:I35"/>
  <sheetViews>
    <sheetView workbookViewId="0">
      <selection activeCell="H14" sqref="H14"/>
    </sheetView>
  </sheetViews>
  <sheetFormatPr defaultRowHeight="15"/>
  <cols>
    <col min="2" max="2" width="13.5703125" bestFit="1" customWidth="1"/>
    <col min="3" max="3" width="16.140625" bestFit="1" customWidth="1"/>
    <col min="4" max="4" width="11.85546875" bestFit="1" customWidth="1"/>
    <col min="8" max="9" width="13.5703125" bestFit="1" customWidth="1"/>
  </cols>
  <sheetData>
    <row r="1" spans="1:9">
      <c r="A1" t="s">
        <v>94</v>
      </c>
      <c r="B1" t="s">
        <v>95</v>
      </c>
      <c r="C1" t="s">
        <v>96</v>
      </c>
      <c r="D1" t="s">
        <v>93</v>
      </c>
      <c r="G1" t="s">
        <v>94</v>
      </c>
      <c r="H1" t="s">
        <v>95</v>
      </c>
      <c r="I1" t="s">
        <v>96</v>
      </c>
    </row>
    <row r="2" spans="1:9">
      <c r="A2">
        <v>2601</v>
      </c>
      <c r="B2" s="5">
        <v>1143845</v>
      </c>
      <c r="C2" s="5">
        <v>929923</v>
      </c>
      <c r="D2" s="5">
        <f>Table8[[#This Row],[kartu_baru]]-Table8[[#This Row],[kartu_aktivasi]]</f>
        <v>213922</v>
      </c>
      <c r="G2">
        <v>2601</v>
      </c>
      <c r="H2" s="5">
        <v>1143845</v>
      </c>
      <c r="I2" s="5">
        <v>929923</v>
      </c>
    </row>
    <row r="3" spans="1:9">
      <c r="A3">
        <v>2602</v>
      </c>
      <c r="B3" s="5">
        <v>1046925</v>
      </c>
      <c r="C3" s="5">
        <v>856991</v>
      </c>
      <c r="D3" s="5">
        <f>Table8[[#This Row],[kartu_baru]]-Table8[[#This Row],[kartu_aktivasi]]</f>
        <v>189934</v>
      </c>
      <c r="G3">
        <v>2602</v>
      </c>
      <c r="H3" s="5">
        <v>1046925</v>
      </c>
      <c r="I3" s="5">
        <v>856991</v>
      </c>
    </row>
    <row r="4" spans="1:9">
      <c r="A4">
        <v>2603</v>
      </c>
      <c r="B4" s="5">
        <v>1257457</v>
      </c>
      <c r="C4" s="5">
        <v>941207</v>
      </c>
      <c r="D4" s="5">
        <f>Table8[[#This Row],[kartu_baru]]-Table8[[#This Row],[kartu_aktivasi]]</f>
        <v>316250</v>
      </c>
      <c r="G4">
        <v>2603</v>
      </c>
      <c r="H4" s="5">
        <v>1257457</v>
      </c>
      <c r="I4" s="5">
        <v>941207</v>
      </c>
    </row>
    <row r="5" spans="1:9">
      <c r="A5">
        <v>2604</v>
      </c>
      <c r="B5" s="5">
        <v>1295473</v>
      </c>
      <c r="C5" s="5">
        <v>1086601</v>
      </c>
      <c r="D5" s="5">
        <f>Table8[[#This Row],[kartu_baru]]-Table8[[#This Row],[kartu_aktivasi]]</f>
        <v>208872</v>
      </c>
      <c r="G5">
        <v>2604</v>
      </c>
      <c r="H5" s="5">
        <v>1295473</v>
      </c>
      <c r="I5" s="5">
        <v>1086601</v>
      </c>
    </row>
    <row r="6" spans="1:9">
      <c r="A6">
        <v>2605</v>
      </c>
      <c r="B6" s="5">
        <v>1069604</v>
      </c>
      <c r="C6" s="5">
        <v>996859</v>
      </c>
      <c r="D6" s="5">
        <f>Table8[[#This Row],[kartu_baru]]-Table8[[#This Row],[kartu_aktivasi]]</f>
        <v>72745</v>
      </c>
      <c r="G6">
        <v>2605</v>
      </c>
      <c r="H6" s="5">
        <v>1069604</v>
      </c>
      <c r="I6" s="5">
        <v>996859</v>
      </c>
    </row>
    <row r="7" spans="1:9">
      <c r="A7">
        <v>2606</v>
      </c>
      <c r="B7" s="5">
        <v>1335118</v>
      </c>
      <c r="C7" s="5">
        <v>1054040</v>
      </c>
      <c r="D7" s="5">
        <f>Table8[[#This Row],[kartu_baru]]-Table8[[#This Row],[kartu_aktivasi]]</f>
        <v>281078</v>
      </c>
      <c r="G7">
        <v>2606</v>
      </c>
      <c r="H7" s="5">
        <v>1335118</v>
      </c>
      <c r="I7" s="5">
        <v>1054040</v>
      </c>
    </row>
    <row r="8" spans="1:9">
      <c r="A8">
        <v>2607</v>
      </c>
      <c r="B8" s="5">
        <v>1261065</v>
      </c>
      <c r="C8" s="5">
        <v>1086429</v>
      </c>
      <c r="D8" s="5">
        <f>Table8[[#This Row],[kartu_baru]]-Table8[[#This Row],[kartu_aktivasi]]</f>
        <v>174636</v>
      </c>
      <c r="G8">
        <v>2607</v>
      </c>
      <c r="H8" s="5">
        <v>1261065</v>
      </c>
      <c r="I8" s="5">
        <v>1086429</v>
      </c>
    </row>
    <row r="9" spans="1:9">
      <c r="A9">
        <v>2608</v>
      </c>
      <c r="B9" s="5">
        <v>1098194</v>
      </c>
      <c r="C9" s="5">
        <v>1001909</v>
      </c>
      <c r="D9" s="5">
        <f>Table8[[#This Row],[kartu_baru]]-Table8[[#This Row],[kartu_aktivasi]]</f>
        <v>96285</v>
      </c>
      <c r="G9">
        <v>2608</v>
      </c>
      <c r="H9" s="5">
        <v>1098194</v>
      </c>
      <c r="I9" s="5">
        <v>1001909</v>
      </c>
    </row>
    <row r="10" spans="1:9">
      <c r="A10">
        <v>2609</v>
      </c>
      <c r="B10" s="5">
        <v>1062507</v>
      </c>
      <c r="C10" s="5">
        <v>954292</v>
      </c>
      <c r="D10" s="5">
        <f>Table8[[#This Row],[kartu_baru]]-Table8[[#This Row],[kartu_aktivasi]]</f>
        <v>108215</v>
      </c>
      <c r="G10">
        <v>2609</v>
      </c>
      <c r="H10" s="5">
        <v>1062507</v>
      </c>
      <c r="I10" s="5">
        <v>954292</v>
      </c>
    </row>
    <row r="11" spans="1:9">
      <c r="B11" s="5">
        <f>AVERAGE(Table8[kartu_baru])</f>
        <v>1174465.3333333333</v>
      </c>
      <c r="C11" s="5">
        <f>AVERAGE(Table8[kartu_aktivasi])</f>
        <v>989805.66666666663</v>
      </c>
      <c r="D11" s="5">
        <f>AVERAGE(Table8[selisih])</f>
        <v>184659.66666666666</v>
      </c>
    </row>
    <row r="13" spans="1:9">
      <c r="A13" t="s">
        <v>49</v>
      </c>
    </row>
    <row r="14" spans="1:9">
      <c r="A14" t="s">
        <v>97</v>
      </c>
    </row>
    <row r="15" spans="1:9">
      <c r="A15" t="s">
        <v>98</v>
      </c>
    </row>
    <row r="16" spans="1:9">
      <c r="A16" t="s">
        <v>99</v>
      </c>
    </row>
    <row r="17" spans="1:1">
      <c r="A17" t="s">
        <v>52</v>
      </c>
    </row>
    <row r="18" spans="1:1">
      <c r="A18" t="s">
        <v>100</v>
      </c>
    </row>
    <row r="19" spans="1:1">
      <c r="A19" t="s">
        <v>101</v>
      </c>
    </row>
    <row r="20" spans="1:1">
      <c r="A20" t="s">
        <v>102</v>
      </c>
    </row>
    <row r="21" spans="1:1">
      <c r="A21" t="s">
        <v>57</v>
      </c>
    </row>
    <row r="22" spans="1:1">
      <c r="A22" t="s">
        <v>58</v>
      </c>
    </row>
    <row r="23" spans="1:1">
      <c r="A23" t="s">
        <v>103</v>
      </c>
    </row>
    <row r="24" spans="1:1">
      <c r="A24" t="s">
        <v>104</v>
      </c>
    </row>
    <row r="25" spans="1:1">
      <c r="A25" t="s">
        <v>105</v>
      </c>
    </row>
    <row r="26" spans="1:1">
      <c r="A26" t="s">
        <v>104</v>
      </c>
    </row>
    <row r="27" spans="1:1">
      <c r="A27" t="s">
        <v>106</v>
      </c>
    </row>
    <row r="28" spans="1:1">
      <c r="A28" t="s">
        <v>107</v>
      </c>
    </row>
    <row r="29" spans="1:1">
      <c r="A29" t="s">
        <v>102</v>
      </c>
    </row>
    <row r="30" spans="1:1">
      <c r="A30" t="s">
        <v>57</v>
      </c>
    </row>
    <row r="31" spans="1:1">
      <c r="A31" t="s">
        <v>58</v>
      </c>
    </row>
    <row r="32" spans="1:1">
      <c r="A32" t="s">
        <v>108</v>
      </c>
    </row>
    <row r="33" spans="1:1">
      <c r="A33" t="s">
        <v>37</v>
      </c>
    </row>
    <row r="34" spans="1:1">
      <c r="A34" t="s">
        <v>109</v>
      </c>
    </row>
    <row r="35" spans="1:1">
      <c r="A35" t="s">
        <v>110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DE46A-5CDC-483E-AED1-ADD8DED1C32E}">
  <dimension ref="A2:J118"/>
  <sheetViews>
    <sheetView workbookViewId="0">
      <selection activeCell="I5" sqref="I5"/>
    </sheetView>
  </sheetViews>
  <sheetFormatPr defaultRowHeight="15"/>
  <cols>
    <col min="3" max="3" width="18.140625" bestFit="1" customWidth="1"/>
    <col min="4" max="4" width="12" bestFit="1" customWidth="1"/>
    <col min="6" max="6" width="18.140625" bestFit="1" customWidth="1"/>
    <col min="7" max="8" width="9.85546875" bestFit="1" customWidth="1"/>
    <col min="9" max="9" width="11.7109375" bestFit="1" customWidth="1"/>
  </cols>
  <sheetData>
    <row r="2" spans="1:10">
      <c r="A2" t="s">
        <v>111</v>
      </c>
      <c r="B2" t="s">
        <v>94</v>
      </c>
      <c r="C2" t="s">
        <v>112</v>
      </c>
      <c r="D2" t="s">
        <v>3</v>
      </c>
    </row>
    <row r="3" spans="1:10">
      <c r="A3">
        <v>2025</v>
      </c>
      <c r="B3">
        <v>2501</v>
      </c>
      <c r="C3" t="s">
        <v>113</v>
      </c>
      <c r="D3">
        <v>19902</v>
      </c>
      <c r="F3" s="1" t="s">
        <v>6</v>
      </c>
      <c r="G3" s="1" t="s">
        <v>111</v>
      </c>
    </row>
    <row r="4" spans="1:10">
      <c r="A4">
        <v>2025</v>
      </c>
      <c r="B4">
        <v>2501</v>
      </c>
      <c r="C4" t="s">
        <v>114</v>
      </c>
      <c r="D4">
        <v>668864</v>
      </c>
      <c r="F4" s="1" t="s">
        <v>112</v>
      </c>
      <c r="G4">
        <v>2025</v>
      </c>
      <c r="H4">
        <v>2026</v>
      </c>
      <c r="I4" t="s">
        <v>115</v>
      </c>
      <c r="J4" t="s">
        <v>116</v>
      </c>
    </row>
    <row r="5" spans="1:10">
      <c r="A5">
        <v>2025</v>
      </c>
      <c r="B5">
        <v>2501</v>
      </c>
      <c r="C5" t="s">
        <v>117</v>
      </c>
      <c r="D5">
        <v>72519</v>
      </c>
      <c r="F5" t="s">
        <v>113</v>
      </c>
      <c r="G5">
        <v>117975</v>
      </c>
      <c r="H5">
        <v>1392028</v>
      </c>
    </row>
    <row r="6" spans="1:10">
      <c r="A6">
        <v>2025</v>
      </c>
      <c r="B6">
        <v>2501</v>
      </c>
      <c r="C6" t="s">
        <v>118</v>
      </c>
      <c r="D6">
        <v>154750</v>
      </c>
      <c r="F6" t="s">
        <v>114</v>
      </c>
      <c r="G6">
        <v>8262594</v>
      </c>
      <c r="H6">
        <v>5110094</v>
      </c>
    </row>
    <row r="7" spans="1:10">
      <c r="A7">
        <v>2025</v>
      </c>
      <c r="B7">
        <v>2501</v>
      </c>
      <c r="C7" t="s">
        <v>119</v>
      </c>
      <c r="D7">
        <v>1868</v>
      </c>
      <c r="F7" t="s">
        <v>117</v>
      </c>
      <c r="G7">
        <v>954674</v>
      </c>
      <c r="H7">
        <v>995463</v>
      </c>
    </row>
    <row r="8" spans="1:10">
      <c r="A8">
        <v>2025</v>
      </c>
      <c r="B8">
        <v>2502</v>
      </c>
      <c r="C8" t="s">
        <v>113</v>
      </c>
      <c r="D8">
        <v>15243</v>
      </c>
      <c r="F8" t="s">
        <v>120</v>
      </c>
      <c r="G8">
        <v>8115</v>
      </c>
      <c r="H8">
        <v>307804</v>
      </c>
    </row>
    <row r="9" spans="1:10">
      <c r="A9">
        <v>2025</v>
      </c>
      <c r="B9">
        <v>2502</v>
      </c>
      <c r="C9" t="s">
        <v>114</v>
      </c>
      <c r="D9">
        <v>683220</v>
      </c>
      <c r="F9" t="s">
        <v>118</v>
      </c>
      <c r="G9">
        <v>3306810</v>
      </c>
      <c r="H9">
        <v>2760506</v>
      </c>
    </row>
    <row r="10" spans="1:10">
      <c r="A10">
        <v>2025</v>
      </c>
      <c r="B10">
        <v>2502</v>
      </c>
      <c r="C10" t="s">
        <v>117</v>
      </c>
      <c r="D10">
        <v>63719</v>
      </c>
      <c r="F10" t="s">
        <v>119</v>
      </c>
      <c r="G10">
        <v>10321</v>
      </c>
      <c r="H10">
        <v>4293</v>
      </c>
    </row>
    <row r="11" spans="1:10">
      <c r="A11">
        <v>2025</v>
      </c>
      <c r="B11">
        <v>2502</v>
      </c>
      <c r="C11" t="s">
        <v>118</v>
      </c>
      <c r="D11">
        <v>157884</v>
      </c>
      <c r="F11" t="s">
        <v>22</v>
      </c>
      <c r="G11">
        <v>12660489</v>
      </c>
      <c r="H11">
        <v>10570188</v>
      </c>
    </row>
    <row r="12" spans="1:10">
      <c r="A12">
        <v>2025</v>
      </c>
      <c r="B12">
        <v>2502</v>
      </c>
      <c r="C12" t="s">
        <v>119</v>
      </c>
      <c r="D12">
        <v>1551</v>
      </c>
    </row>
    <row r="13" spans="1:10">
      <c r="A13">
        <v>2025</v>
      </c>
      <c r="B13">
        <v>2503</v>
      </c>
      <c r="C13" t="s">
        <v>113</v>
      </c>
      <c r="D13">
        <v>12957</v>
      </c>
    </row>
    <row r="14" spans="1:10">
      <c r="A14">
        <v>2025</v>
      </c>
      <c r="B14">
        <v>2503</v>
      </c>
      <c r="C14" t="s">
        <v>114</v>
      </c>
      <c r="D14">
        <v>589145</v>
      </c>
    </row>
    <row r="15" spans="1:10">
      <c r="A15">
        <v>2025</v>
      </c>
      <c r="B15">
        <v>2503</v>
      </c>
      <c r="C15" t="s">
        <v>117</v>
      </c>
      <c r="D15">
        <v>76284</v>
      </c>
    </row>
    <row r="16" spans="1:10">
      <c r="A16">
        <v>2025</v>
      </c>
      <c r="B16">
        <v>2503</v>
      </c>
      <c r="C16" t="s">
        <v>118</v>
      </c>
      <c r="D16">
        <v>194364</v>
      </c>
    </row>
    <row r="17" spans="1:6">
      <c r="A17">
        <v>2025</v>
      </c>
      <c r="B17">
        <v>2503</v>
      </c>
      <c r="C17" t="s">
        <v>119</v>
      </c>
      <c r="D17">
        <v>775</v>
      </c>
    </row>
    <row r="18" spans="1:6">
      <c r="A18">
        <v>2025</v>
      </c>
      <c r="B18">
        <v>2504</v>
      </c>
      <c r="C18" t="s">
        <v>113</v>
      </c>
      <c r="D18">
        <v>9505</v>
      </c>
    </row>
    <row r="19" spans="1:6">
      <c r="A19">
        <v>2025</v>
      </c>
      <c r="B19">
        <v>2504</v>
      </c>
      <c r="C19" t="s">
        <v>114</v>
      </c>
      <c r="D19">
        <v>489837</v>
      </c>
    </row>
    <row r="20" spans="1:6">
      <c r="A20">
        <v>2025</v>
      </c>
      <c r="B20">
        <v>2504</v>
      </c>
      <c r="C20" t="s">
        <v>117</v>
      </c>
      <c r="D20">
        <v>69072</v>
      </c>
      <c r="F20" t="s">
        <v>121</v>
      </c>
    </row>
    <row r="21" spans="1:6">
      <c r="A21">
        <v>2025</v>
      </c>
      <c r="B21">
        <v>2504</v>
      </c>
      <c r="C21" t="s">
        <v>118</v>
      </c>
      <c r="D21">
        <v>176432</v>
      </c>
    </row>
    <row r="22" spans="1:6">
      <c r="A22">
        <v>2025</v>
      </c>
      <c r="B22">
        <v>2504</v>
      </c>
      <c r="C22" t="s">
        <v>119</v>
      </c>
      <c r="D22">
        <v>728</v>
      </c>
    </row>
    <row r="23" spans="1:6">
      <c r="A23">
        <v>2025</v>
      </c>
      <c r="B23">
        <v>2505</v>
      </c>
      <c r="C23" t="s">
        <v>113</v>
      </c>
      <c r="D23">
        <v>8043</v>
      </c>
    </row>
    <row r="24" spans="1:6">
      <c r="A24">
        <v>2025</v>
      </c>
      <c r="B24">
        <v>2505</v>
      </c>
      <c r="C24" t="s">
        <v>114</v>
      </c>
      <c r="D24">
        <v>538614</v>
      </c>
    </row>
    <row r="25" spans="1:6">
      <c r="A25">
        <v>2025</v>
      </c>
      <c r="B25">
        <v>2505</v>
      </c>
      <c r="C25" t="s">
        <v>117</v>
      </c>
      <c r="D25">
        <v>66890</v>
      </c>
    </row>
    <row r="26" spans="1:6">
      <c r="A26">
        <v>2025</v>
      </c>
      <c r="B26">
        <v>2505</v>
      </c>
      <c r="C26" t="s">
        <v>118</v>
      </c>
      <c r="D26">
        <v>201102</v>
      </c>
    </row>
    <row r="27" spans="1:6">
      <c r="A27">
        <v>2025</v>
      </c>
      <c r="B27">
        <v>2505</v>
      </c>
      <c r="C27" t="s">
        <v>119</v>
      </c>
      <c r="D27">
        <v>706</v>
      </c>
    </row>
    <row r="28" spans="1:6">
      <c r="A28">
        <v>2025</v>
      </c>
      <c r="B28">
        <v>2506</v>
      </c>
      <c r="C28" t="s">
        <v>113</v>
      </c>
      <c r="D28">
        <v>7805</v>
      </c>
    </row>
    <row r="29" spans="1:6">
      <c r="A29">
        <v>2025</v>
      </c>
      <c r="B29">
        <v>2506</v>
      </c>
      <c r="C29" t="s">
        <v>114</v>
      </c>
      <c r="D29">
        <v>879348</v>
      </c>
    </row>
    <row r="30" spans="1:6">
      <c r="A30">
        <v>2025</v>
      </c>
      <c r="B30">
        <v>2506</v>
      </c>
      <c r="C30" t="s">
        <v>117</v>
      </c>
      <c r="D30">
        <v>112720</v>
      </c>
    </row>
    <row r="31" spans="1:6">
      <c r="A31">
        <v>2025</v>
      </c>
      <c r="B31">
        <v>2506</v>
      </c>
      <c r="C31" t="s">
        <v>118</v>
      </c>
      <c r="D31">
        <v>575406</v>
      </c>
    </row>
    <row r="32" spans="1:6">
      <c r="A32">
        <v>2025</v>
      </c>
      <c r="B32">
        <v>2506</v>
      </c>
      <c r="C32" t="s">
        <v>119</v>
      </c>
      <c r="D32">
        <v>1625</v>
      </c>
    </row>
    <row r="33" spans="1:4">
      <c r="A33">
        <v>2025</v>
      </c>
      <c r="B33">
        <v>2507</v>
      </c>
      <c r="C33" t="s">
        <v>113</v>
      </c>
      <c r="D33">
        <v>8493</v>
      </c>
    </row>
    <row r="34" spans="1:4">
      <c r="A34">
        <v>2025</v>
      </c>
      <c r="B34">
        <v>2507</v>
      </c>
      <c r="C34" t="s">
        <v>114</v>
      </c>
      <c r="D34">
        <v>1436097</v>
      </c>
    </row>
    <row r="35" spans="1:4">
      <c r="A35">
        <v>2025</v>
      </c>
      <c r="B35">
        <v>2507</v>
      </c>
      <c r="C35" t="s">
        <v>117</v>
      </c>
      <c r="D35">
        <v>102910</v>
      </c>
    </row>
    <row r="36" spans="1:4">
      <c r="A36">
        <v>2025</v>
      </c>
      <c r="B36">
        <v>2507</v>
      </c>
      <c r="C36" t="s">
        <v>118</v>
      </c>
      <c r="D36">
        <v>309415</v>
      </c>
    </row>
    <row r="37" spans="1:4">
      <c r="A37">
        <v>2025</v>
      </c>
      <c r="B37">
        <v>2507</v>
      </c>
      <c r="C37" t="s">
        <v>119</v>
      </c>
      <c r="D37">
        <v>678</v>
      </c>
    </row>
    <row r="38" spans="1:4">
      <c r="A38">
        <v>2025</v>
      </c>
      <c r="B38">
        <v>2508</v>
      </c>
      <c r="C38" t="s">
        <v>113</v>
      </c>
      <c r="D38">
        <v>6502</v>
      </c>
    </row>
    <row r="39" spans="1:4">
      <c r="A39">
        <v>2025</v>
      </c>
      <c r="B39">
        <v>2508</v>
      </c>
      <c r="C39" t="s">
        <v>114</v>
      </c>
      <c r="D39">
        <v>606100</v>
      </c>
    </row>
    <row r="40" spans="1:4">
      <c r="A40">
        <v>2025</v>
      </c>
      <c r="B40">
        <v>2508</v>
      </c>
      <c r="C40" t="s">
        <v>117</v>
      </c>
      <c r="D40">
        <v>73738</v>
      </c>
    </row>
    <row r="41" spans="1:4">
      <c r="A41">
        <v>2025</v>
      </c>
      <c r="B41">
        <v>2508</v>
      </c>
      <c r="C41" t="s">
        <v>118</v>
      </c>
      <c r="D41">
        <v>244093</v>
      </c>
    </row>
    <row r="42" spans="1:4">
      <c r="A42">
        <v>2025</v>
      </c>
      <c r="B42">
        <v>2508</v>
      </c>
      <c r="C42" t="s">
        <v>119</v>
      </c>
      <c r="D42">
        <v>530</v>
      </c>
    </row>
    <row r="43" spans="1:4">
      <c r="A43">
        <v>2025</v>
      </c>
      <c r="B43">
        <v>2509</v>
      </c>
      <c r="C43" t="s">
        <v>113</v>
      </c>
      <c r="D43">
        <v>6773</v>
      </c>
    </row>
    <row r="44" spans="1:4">
      <c r="A44">
        <v>2025</v>
      </c>
      <c r="B44">
        <v>2509</v>
      </c>
      <c r="C44" t="s">
        <v>114</v>
      </c>
      <c r="D44">
        <v>638221</v>
      </c>
    </row>
    <row r="45" spans="1:4">
      <c r="A45">
        <v>2025</v>
      </c>
      <c r="B45">
        <v>2509</v>
      </c>
      <c r="C45" t="s">
        <v>117</v>
      </c>
      <c r="D45">
        <v>78217</v>
      </c>
    </row>
    <row r="46" spans="1:4">
      <c r="A46">
        <v>2025</v>
      </c>
      <c r="B46">
        <v>2509</v>
      </c>
      <c r="C46" t="s">
        <v>120</v>
      </c>
      <c r="D46">
        <v>9</v>
      </c>
    </row>
    <row r="47" spans="1:4">
      <c r="A47">
        <v>2025</v>
      </c>
      <c r="B47">
        <v>2509</v>
      </c>
      <c r="C47" t="s">
        <v>118</v>
      </c>
      <c r="D47">
        <v>367015</v>
      </c>
    </row>
    <row r="48" spans="1:4">
      <c r="A48">
        <v>2025</v>
      </c>
      <c r="B48">
        <v>2509</v>
      </c>
      <c r="C48" t="s">
        <v>119</v>
      </c>
      <c r="D48">
        <v>467</v>
      </c>
    </row>
    <row r="49" spans="1:4">
      <c r="A49">
        <v>2025</v>
      </c>
      <c r="B49">
        <v>2510</v>
      </c>
      <c r="C49" t="s">
        <v>113</v>
      </c>
      <c r="D49">
        <v>6494</v>
      </c>
    </row>
    <row r="50" spans="1:4">
      <c r="A50">
        <v>2025</v>
      </c>
      <c r="B50">
        <v>2510</v>
      </c>
      <c r="C50" t="s">
        <v>114</v>
      </c>
      <c r="D50">
        <v>625264</v>
      </c>
    </row>
    <row r="51" spans="1:4">
      <c r="A51">
        <v>2025</v>
      </c>
      <c r="B51">
        <v>2510</v>
      </c>
      <c r="C51" t="s">
        <v>117</v>
      </c>
      <c r="D51">
        <v>78425</v>
      </c>
    </row>
    <row r="52" spans="1:4">
      <c r="A52">
        <v>2025</v>
      </c>
      <c r="B52">
        <v>2510</v>
      </c>
      <c r="C52" t="s">
        <v>118</v>
      </c>
      <c r="D52">
        <v>304572</v>
      </c>
    </row>
    <row r="53" spans="1:4">
      <c r="A53">
        <v>2025</v>
      </c>
      <c r="B53">
        <v>2510</v>
      </c>
      <c r="C53" t="s">
        <v>119</v>
      </c>
      <c r="D53">
        <v>481</v>
      </c>
    </row>
    <row r="54" spans="1:4">
      <c r="A54">
        <v>2025</v>
      </c>
      <c r="B54">
        <v>2511</v>
      </c>
      <c r="C54" t="s">
        <v>113</v>
      </c>
      <c r="D54">
        <v>5885</v>
      </c>
    </row>
    <row r="55" spans="1:4">
      <c r="A55">
        <v>2025</v>
      </c>
      <c r="B55">
        <v>2511</v>
      </c>
      <c r="C55" t="s">
        <v>114</v>
      </c>
      <c r="D55">
        <v>533376</v>
      </c>
    </row>
    <row r="56" spans="1:4">
      <c r="A56">
        <v>2025</v>
      </c>
      <c r="B56">
        <v>2511</v>
      </c>
      <c r="C56" t="s">
        <v>117</v>
      </c>
      <c r="D56">
        <v>71933</v>
      </c>
    </row>
    <row r="57" spans="1:4">
      <c r="A57">
        <v>2025</v>
      </c>
      <c r="B57">
        <v>2511</v>
      </c>
      <c r="C57" t="s">
        <v>118</v>
      </c>
      <c r="D57">
        <v>292663</v>
      </c>
    </row>
    <row r="58" spans="1:4">
      <c r="A58">
        <v>2025</v>
      </c>
      <c r="B58">
        <v>2511</v>
      </c>
      <c r="C58" t="s">
        <v>119</v>
      </c>
      <c r="D58">
        <v>467</v>
      </c>
    </row>
    <row r="59" spans="1:4">
      <c r="A59">
        <v>2025</v>
      </c>
      <c r="B59">
        <v>2512</v>
      </c>
      <c r="C59" t="s">
        <v>113</v>
      </c>
      <c r="D59">
        <v>10373</v>
      </c>
    </row>
    <row r="60" spans="1:4">
      <c r="A60">
        <v>2025</v>
      </c>
      <c r="B60">
        <v>2512</v>
      </c>
      <c r="C60" t="s">
        <v>114</v>
      </c>
      <c r="D60">
        <v>574508</v>
      </c>
    </row>
    <row r="61" spans="1:4">
      <c r="A61">
        <v>2025</v>
      </c>
      <c r="B61">
        <v>2512</v>
      </c>
      <c r="C61" t="s">
        <v>117</v>
      </c>
      <c r="D61">
        <v>88247</v>
      </c>
    </row>
    <row r="62" spans="1:4">
      <c r="A62">
        <v>2025</v>
      </c>
      <c r="B62">
        <v>2512</v>
      </c>
      <c r="C62" t="s">
        <v>120</v>
      </c>
      <c r="D62">
        <v>8106</v>
      </c>
    </row>
    <row r="63" spans="1:4">
      <c r="A63">
        <v>2025</v>
      </c>
      <c r="B63">
        <v>2512</v>
      </c>
      <c r="C63" t="s">
        <v>118</v>
      </c>
      <c r="D63">
        <v>329114</v>
      </c>
    </row>
    <row r="64" spans="1:4">
      <c r="A64">
        <v>2025</v>
      </c>
      <c r="B64">
        <v>2512</v>
      </c>
      <c r="C64" t="s">
        <v>119</v>
      </c>
      <c r="D64">
        <v>445</v>
      </c>
    </row>
    <row r="65" spans="1:4">
      <c r="A65">
        <v>2026</v>
      </c>
      <c r="B65">
        <v>2601</v>
      </c>
      <c r="C65" t="s">
        <v>113</v>
      </c>
      <c r="D65">
        <v>14691</v>
      </c>
    </row>
    <row r="66" spans="1:4">
      <c r="A66">
        <v>2026</v>
      </c>
      <c r="B66">
        <v>2601</v>
      </c>
      <c r="C66" t="s">
        <v>114</v>
      </c>
      <c r="D66">
        <v>614174</v>
      </c>
    </row>
    <row r="67" spans="1:4">
      <c r="A67">
        <v>2026</v>
      </c>
      <c r="B67">
        <v>2601</v>
      </c>
      <c r="C67" t="s">
        <v>117</v>
      </c>
      <c r="D67">
        <v>105988</v>
      </c>
    </row>
    <row r="68" spans="1:4">
      <c r="A68">
        <v>2026</v>
      </c>
      <c r="B68">
        <v>2601</v>
      </c>
      <c r="C68" t="s">
        <v>120</v>
      </c>
      <c r="D68">
        <v>45307</v>
      </c>
    </row>
    <row r="69" spans="1:4">
      <c r="A69">
        <v>2026</v>
      </c>
      <c r="B69">
        <v>2601</v>
      </c>
      <c r="C69" t="s">
        <v>118</v>
      </c>
      <c r="D69">
        <v>363025</v>
      </c>
    </row>
    <row r="70" spans="1:4">
      <c r="A70">
        <v>2026</v>
      </c>
      <c r="B70">
        <v>2601</v>
      </c>
      <c r="C70" t="s">
        <v>119</v>
      </c>
      <c r="D70">
        <v>660</v>
      </c>
    </row>
    <row r="71" spans="1:4">
      <c r="A71">
        <v>2026</v>
      </c>
      <c r="B71">
        <v>2602</v>
      </c>
      <c r="C71" t="s">
        <v>113</v>
      </c>
      <c r="D71">
        <v>16571</v>
      </c>
    </row>
    <row r="72" spans="1:4">
      <c r="A72">
        <v>2026</v>
      </c>
      <c r="B72">
        <v>2602</v>
      </c>
      <c r="C72" t="s">
        <v>114</v>
      </c>
      <c r="D72">
        <v>569728</v>
      </c>
    </row>
    <row r="73" spans="1:4">
      <c r="A73">
        <v>2026</v>
      </c>
      <c r="B73">
        <v>2602</v>
      </c>
      <c r="C73" t="s">
        <v>117</v>
      </c>
      <c r="D73">
        <v>98726</v>
      </c>
    </row>
    <row r="74" spans="1:4">
      <c r="A74">
        <v>2026</v>
      </c>
      <c r="B74">
        <v>2602</v>
      </c>
      <c r="C74" t="s">
        <v>120</v>
      </c>
      <c r="D74">
        <v>49249</v>
      </c>
    </row>
    <row r="75" spans="1:4">
      <c r="A75">
        <v>2026</v>
      </c>
      <c r="B75">
        <v>2602</v>
      </c>
      <c r="C75" t="s">
        <v>118</v>
      </c>
      <c r="D75">
        <v>312149</v>
      </c>
    </row>
    <row r="76" spans="1:4">
      <c r="A76">
        <v>2026</v>
      </c>
      <c r="B76">
        <v>2602</v>
      </c>
      <c r="C76" t="s">
        <v>119</v>
      </c>
      <c r="D76">
        <v>502</v>
      </c>
    </row>
    <row r="77" spans="1:4">
      <c r="A77">
        <v>2026</v>
      </c>
      <c r="B77">
        <v>2603</v>
      </c>
      <c r="C77" t="s">
        <v>113</v>
      </c>
      <c r="D77">
        <v>22196</v>
      </c>
    </row>
    <row r="78" spans="1:4">
      <c r="A78">
        <v>2026</v>
      </c>
      <c r="B78">
        <v>2603</v>
      </c>
      <c r="C78" t="s">
        <v>114</v>
      </c>
      <c r="D78">
        <v>760243</v>
      </c>
    </row>
    <row r="79" spans="1:4">
      <c r="A79">
        <v>2026</v>
      </c>
      <c r="B79">
        <v>2603</v>
      </c>
      <c r="C79" t="s">
        <v>117</v>
      </c>
      <c r="D79">
        <v>128593</v>
      </c>
    </row>
    <row r="80" spans="1:4">
      <c r="A80">
        <v>2026</v>
      </c>
      <c r="B80">
        <v>2603</v>
      </c>
      <c r="C80" t="s">
        <v>120</v>
      </c>
      <c r="D80">
        <v>31043</v>
      </c>
    </row>
    <row r="81" spans="1:4">
      <c r="A81">
        <v>2026</v>
      </c>
      <c r="B81">
        <v>2603</v>
      </c>
      <c r="C81" t="s">
        <v>118</v>
      </c>
      <c r="D81">
        <v>314958</v>
      </c>
    </row>
    <row r="82" spans="1:4">
      <c r="A82">
        <v>2026</v>
      </c>
      <c r="B82">
        <v>2603</v>
      </c>
      <c r="C82" t="s">
        <v>119</v>
      </c>
      <c r="D82">
        <v>424</v>
      </c>
    </row>
    <row r="83" spans="1:4">
      <c r="A83">
        <v>2026</v>
      </c>
      <c r="B83">
        <v>2604</v>
      </c>
      <c r="C83" t="s">
        <v>113</v>
      </c>
      <c r="D83">
        <v>27285</v>
      </c>
    </row>
    <row r="84" spans="1:4">
      <c r="A84">
        <v>2026</v>
      </c>
      <c r="B84">
        <v>2604</v>
      </c>
      <c r="C84" t="s">
        <v>114</v>
      </c>
      <c r="D84">
        <v>750177</v>
      </c>
    </row>
    <row r="85" spans="1:4">
      <c r="A85">
        <v>2026</v>
      </c>
      <c r="B85">
        <v>2604</v>
      </c>
      <c r="C85" t="s">
        <v>117</v>
      </c>
      <c r="D85">
        <v>127698</v>
      </c>
    </row>
    <row r="86" spans="1:4">
      <c r="A86">
        <v>2026</v>
      </c>
      <c r="B86">
        <v>2604</v>
      </c>
      <c r="C86" t="s">
        <v>120</v>
      </c>
      <c r="D86">
        <v>45624</v>
      </c>
    </row>
    <row r="87" spans="1:4">
      <c r="A87">
        <v>2026</v>
      </c>
      <c r="B87">
        <v>2604</v>
      </c>
      <c r="C87" t="s">
        <v>118</v>
      </c>
      <c r="D87">
        <v>344296</v>
      </c>
    </row>
    <row r="88" spans="1:4">
      <c r="A88">
        <v>2026</v>
      </c>
      <c r="B88">
        <v>2604</v>
      </c>
      <c r="C88" t="s">
        <v>119</v>
      </c>
      <c r="D88">
        <v>393</v>
      </c>
    </row>
    <row r="89" spans="1:4">
      <c r="A89">
        <v>2026</v>
      </c>
      <c r="B89">
        <v>2605</v>
      </c>
      <c r="C89" t="s">
        <v>113</v>
      </c>
      <c r="D89">
        <v>55848</v>
      </c>
    </row>
    <row r="90" spans="1:4">
      <c r="A90">
        <v>2026</v>
      </c>
      <c r="B90">
        <v>2605</v>
      </c>
      <c r="C90" t="s">
        <v>114</v>
      </c>
      <c r="D90">
        <v>558148</v>
      </c>
    </row>
    <row r="91" spans="1:4">
      <c r="A91">
        <v>2026</v>
      </c>
      <c r="B91">
        <v>2605</v>
      </c>
      <c r="C91" t="s">
        <v>117</v>
      </c>
      <c r="D91">
        <v>112743</v>
      </c>
    </row>
    <row r="92" spans="1:4">
      <c r="A92">
        <v>2026</v>
      </c>
      <c r="B92">
        <v>2605</v>
      </c>
      <c r="C92" t="s">
        <v>120</v>
      </c>
      <c r="D92">
        <v>31427</v>
      </c>
    </row>
    <row r="93" spans="1:4">
      <c r="A93">
        <v>2026</v>
      </c>
      <c r="B93">
        <v>2605</v>
      </c>
      <c r="C93" t="s">
        <v>118</v>
      </c>
      <c r="D93">
        <v>311221</v>
      </c>
    </row>
    <row r="94" spans="1:4">
      <c r="A94">
        <v>2026</v>
      </c>
      <c r="B94">
        <v>2605</v>
      </c>
      <c r="C94" t="s">
        <v>119</v>
      </c>
      <c r="D94">
        <v>217</v>
      </c>
    </row>
    <row r="95" spans="1:4">
      <c r="A95">
        <v>2026</v>
      </c>
      <c r="B95">
        <v>2606</v>
      </c>
      <c r="C95" t="s">
        <v>113</v>
      </c>
      <c r="D95">
        <v>207429</v>
      </c>
    </row>
    <row r="96" spans="1:4">
      <c r="A96">
        <v>2026</v>
      </c>
      <c r="B96">
        <v>2606</v>
      </c>
      <c r="C96" t="s">
        <v>114</v>
      </c>
      <c r="D96">
        <v>691653</v>
      </c>
    </row>
    <row r="97" spans="1:4">
      <c r="A97">
        <v>2026</v>
      </c>
      <c r="B97">
        <v>2606</v>
      </c>
      <c r="C97" t="s">
        <v>117</v>
      </c>
      <c r="D97">
        <v>122342</v>
      </c>
    </row>
    <row r="98" spans="1:4">
      <c r="A98">
        <v>2026</v>
      </c>
      <c r="B98">
        <v>2606</v>
      </c>
      <c r="C98" t="s">
        <v>120</v>
      </c>
      <c r="D98">
        <v>30210</v>
      </c>
    </row>
    <row r="99" spans="1:4">
      <c r="A99">
        <v>2026</v>
      </c>
      <c r="B99">
        <v>2606</v>
      </c>
      <c r="C99" t="s">
        <v>118</v>
      </c>
      <c r="D99">
        <v>282988</v>
      </c>
    </row>
    <row r="100" spans="1:4">
      <c r="A100">
        <v>2026</v>
      </c>
      <c r="B100">
        <v>2606</v>
      </c>
      <c r="C100" t="s">
        <v>119</v>
      </c>
      <c r="D100">
        <v>496</v>
      </c>
    </row>
    <row r="101" spans="1:4">
      <c r="A101">
        <v>2026</v>
      </c>
      <c r="B101">
        <v>2607</v>
      </c>
      <c r="C101" t="s">
        <v>113</v>
      </c>
      <c r="D101">
        <v>338205</v>
      </c>
    </row>
    <row r="102" spans="1:4">
      <c r="A102">
        <v>2026</v>
      </c>
      <c r="B102">
        <v>2607</v>
      </c>
      <c r="C102" t="s">
        <v>114</v>
      </c>
      <c r="D102">
        <v>478025</v>
      </c>
    </row>
    <row r="103" spans="1:4">
      <c r="A103">
        <v>2026</v>
      </c>
      <c r="B103">
        <v>2607</v>
      </c>
      <c r="C103" t="s">
        <v>117</v>
      </c>
      <c r="D103">
        <v>115407</v>
      </c>
    </row>
    <row r="104" spans="1:4">
      <c r="A104">
        <v>2026</v>
      </c>
      <c r="B104">
        <v>2607</v>
      </c>
      <c r="C104" t="s">
        <v>120</v>
      </c>
      <c r="D104">
        <v>23066</v>
      </c>
    </row>
    <row r="105" spans="1:4">
      <c r="A105">
        <v>2026</v>
      </c>
      <c r="B105">
        <v>2607</v>
      </c>
      <c r="C105" t="s">
        <v>118</v>
      </c>
      <c r="D105">
        <v>305734</v>
      </c>
    </row>
    <row r="106" spans="1:4">
      <c r="A106">
        <v>2026</v>
      </c>
      <c r="B106">
        <v>2607</v>
      </c>
      <c r="C106" t="s">
        <v>119</v>
      </c>
      <c r="D106">
        <v>628</v>
      </c>
    </row>
    <row r="107" spans="1:4">
      <c r="A107">
        <v>2026</v>
      </c>
      <c r="B107">
        <v>2608</v>
      </c>
      <c r="C107" t="s">
        <v>113</v>
      </c>
      <c r="D107">
        <v>327094</v>
      </c>
    </row>
    <row r="108" spans="1:4">
      <c r="A108">
        <v>2026</v>
      </c>
      <c r="B108">
        <v>2608</v>
      </c>
      <c r="C108" t="s">
        <v>114</v>
      </c>
      <c r="D108">
        <v>365752</v>
      </c>
    </row>
    <row r="109" spans="1:4">
      <c r="A109">
        <v>2026</v>
      </c>
      <c r="B109">
        <v>2608</v>
      </c>
      <c r="C109" t="s">
        <v>117</v>
      </c>
      <c r="D109">
        <v>98991</v>
      </c>
    </row>
    <row r="110" spans="1:4">
      <c r="A110">
        <v>2026</v>
      </c>
      <c r="B110">
        <v>2608</v>
      </c>
      <c r="C110" t="s">
        <v>120</v>
      </c>
      <c r="D110">
        <v>29772</v>
      </c>
    </row>
    <row r="111" spans="1:4">
      <c r="A111">
        <v>2026</v>
      </c>
      <c r="B111">
        <v>2608</v>
      </c>
      <c r="C111" t="s">
        <v>118</v>
      </c>
      <c r="D111">
        <v>275997</v>
      </c>
    </row>
    <row r="112" spans="1:4">
      <c r="A112">
        <v>2026</v>
      </c>
      <c r="B112">
        <v>2608</v>
      </c>
      <c r="C112" t="s">
        <v>119</v>
      </c>
      <c r="D112">
        <v>588</v>
      </c>
    </row>
    <row r="113" spans="1:4">
      <c r="A113">
        <v>2026</v>
      </c>
      <c r="B113">
        <v>2609</v>
      </c>
      <c r="C113" t="s">
        <v>113</v>
      </c>
      <c r="D113">
        <v>382709</v>
      </c>
    </row>
    <row r="114" spans="1:4">
      <c r="A114">
        <v>2026</v>
      </c>
      <c r="B114">
        <v>2609</v>
      </c>
      <c r="C114" t="s">
        <v>114</v>
      </c>
      <c r="D114">
        <v>322194</v>
      </c>
    </row>
    <row r="115" spans="1:4">
      <c r="A115">
        <v>2026</v>
      </c>
      <c r="B115">
        <v>2609</v>
      </c>
      <c r="C115" t="s">
        <v>117</v>
      </c>
      <c r="D115">
        <v>84975</v>
      </c>
    </row>
    <row r="116" spans="1:4">
      <c r="A116">
        <v>2026</v>
      </c>
      <c r="B116">
        <v>2609</v>
      </c>
      <c r="C116" t="s">
        <v>120</v>
      </c>
      <c r="D116">
        <v>22106</v>
      </c>
    </row>
    <row r="117" spans="1:4">
      <c r="A117">
        <v>2026</v>
      </c>
      <c r="B117">
        <v>2609</v>
      </c>
      <c r="C117" t="s">
        <v>118</v>
      </c>
      <c r="D117">
        <v>250138</v>
      </c>
    </row>
    <row r="118" spans="1:4">
      <c r="A118">
        <v>2026</v>
      </c>
      <c r="B118">
        <v>2609</v>
      </c>
      <c r="C118" t="s">
        <v>119</v>
      </c>
      <c r="D118">
        <v>385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2026-10-27T04:34:35Z</dcterms:created>
  <dcterms:modified xsi:type="dcterms:W3CDTF">2026-10-29T14:19:48Z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0b0ad77-441a-4f25-85b5-54a2c279b311_Enabled">
    <vt:lpwstr>true</vt:lpwstr>
  </property>
  <property fmtid="{D5CDD505-2E9C-101B-9397-08002B2CF9AE}" pid="3" name="MSIP_Label_60b0ad77-441a-4f25-85b5-54a2c279b311_SetDate">
    <vt:lpwstr>2026-10-29T02:37:05Z</vt:lpwstr>
  </property>
  <property fmtid="{D5CDD505-2E9C-101B-9397-08002B2CF9AE}" pid="4" name="MSIP_Label_60b0ad77-441a-4f25-85b5-54a2c279b311_Method">
    <vt:lpwstr>Privileged</vt:lpwstr>
  </property>
  <property fmtid="{D5CDD505-2E9C-101B-9397-08002B2CF9AE}" pid="5" name="MSIP_Label_60b0ad77-441a-4f25-85b5-54a2c279b311_Name">
    <vt:lpwstr>General - No Protection</vt:lpwstr>
  </property>
  <property fmtid="{D5CDD505-2E9C-101B-9397-08002B2CF9AE}" pid="6" name="MSIP_Label_60b0ad77-441a-4f25-85b5-54a2c279b311_SiteId">
    <vt:lpwstr>4bdbbe7d-63df-4e5c-953e-9286316895e6</vt:lpwstr>
  </property>
  <property fmtid="{D5CDD505-2E9C-101B-9397-08002B2CF9AE}" pid="7" name="MSIP_Label_60b0ad77-441a-4f25-85b5-54a2c279b311_ActionId">
    <vt:lpwstr>5ddeaee4-4c7c-4c06-928f-da010ecf1843</vt:lpwstr>
  </property>
  <property fmtid="{D5CDD505-2E9C-101B-9397-08002B2CF9AE}" pid="8" name="MSIP_Label_60b0ad77-441a-4f25-85b5-54a2c279b311_ContentBits">
    <vt:lpwstr>0</vt:lpwstr>
  </property>
  <property fmtid="{D5CDD505-2E9C-101B-9397-08002B2CF9AE}" pid="9" name="MSIP_Label_60b0ad77-441a-4f25-85b5-54a2c279b311_Tag">
    <vt:lpwstr>10, 0, 1, 2</vt:lpwstr>
  </property>
</Properties>
</file>